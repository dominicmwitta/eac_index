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Work\EAC Covergence Index\"/>
    </mc:Choice>
  </mc:AlternateContent>
  <xr:revisionPtr revIDLastSave="0" documentId="13_ncr:1_{16ACB300-6942-4B61-946B-FC084BE6AF49}" xr6:coauthVersionLast="47" xr6:coauthVersionMax="47" xr10:uidLastSave="{00000000-0000-0000-0000-000000000000}"/>
  <bookViews>
    <workbookView xWindow="28680" yWindow="-120" windowWidth="29040" windowHeight="15720" firstSheet="1" activeTab="2" xr2:uid="{00000000-000D-0000-FFFF-FFFF00000000}"/>
  </bookViews>
  <sheets>
    <sheet name="Sheet1" sheetId="1" state="hidden" r:id="rId1"/>
    <sheet name="Data_EAC_Submitted" sheetId="4" r:id="rId2"/>
    <sheet name="Data_EAC_Submitted and online" sheetId="5" r:id="rId3"/>
    <sheet name="Data Sources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  <c r="I9" i="1"/>
  <c r="I5" i="1"/>
  <c r="I6" i="1"/>
  <c r="I7" i="1"/>
  <c r="I8" i="1"/>
  <c r="I4" i="1"/>
  <c r="I13" i="1" l="1"/>
  <c r="I14" i="1"/>
  <c r="I15" i="1"/>
  <c r="I16" i="1"/>
  <c r="I17" i="1"/>
  <c r="I18" i="1"/>
  <c r="I12" i="1"/>
  <c r="H27" i="1" l="1"/>
  <c r="G27" i="1"/>
  <c r="F27" i="1"/>
  <c r="E27" i="1"/>
  <c r="D27" i="1"/>
  <c r="H43" i="1" l="1"/>
  <c r="H67" i="1"/>
  <c r="G67" i="1"/>
  <c r="F67" i="1"/>
  <c r="E67" i="1"/>
  <c r="D67" i="1"/>
  <c r="H59" i="1"/>
  <c r="G59" i="1"/>
  <c r="F59" i="1"/>
  <c r="E59" i="1"/>
  <c r="D59" i="1"/>
  <c r="H51" i="1"/>
  <c r="G51" i="1"/>
  <c r="F51" i="1"/>
  <c r="E51" i="1"/>
  <c r="D51" i="1"/>
  <c r="G43" i="1"/>
  <c r="F43" i="1"/>
  <c r="E43" i="1"/>
  <c r="D43" i="1"/>
  <c r="H35" i="1"/>
  <c r="G35" i="1"/>
  <c r="F35" i="1"/>
  <c r="E35" i="1"/>
  <c r="D35" i="1"/>
  <c r="H19" i="1"/>
  <c r="G19" i="1"/>
  <c r="F19" i="1"/>
  <c r="E19" i="1"/>
  <c r="D19" i="1"/>
  <c r="E11" i="1" l="1"/>
  <c r="F11" i="1"/>
  <c r="G11" i="1"/>
  <c r="H11" i="1"/>
  <c r="D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Barindirimana, Martin De Pores</author>
  </authors>
  <commentList>
    <comment ref="AC3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This is the projection for 2026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Barindirimana, Martin De Pores</author>
  </authors>
  <commentList>
    <comment ref="AC36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 xml:space="preserve">This is the projection for 2026
</t>
        </r>
      </text>
    </comment>
  </commentList>
</comments>
</file>

<file path=xl/sharedStrings.xml><?xml version="1.0" encoding="utf-8"?>
<sst xmlns="http://schemas.openxmlformats.org/spreadsheetml/2006/main" count="265" uniqueCount="104">
  <si>
    <t>Partner State</t>
  </si>
  <si>
    <t>2018/19</t>
  </si>
  <si>
    <t>2019/20</t>
  </si>
  <si>
    <t>Recent Economic Growth</t>
  </si>
  <si>
    <t>Burundi</t>
  </si>
  <si>
    <t>Rwanda</t>
  </si>
  <si>
    <t>South Sudan</t>
  </si>
  <si>
    <t>Tanzania</t>
  </si>
  <si>
    <t>Uganda</t>
  </si>
  <si>
    <t>Current Account Balance (%GDP)</t>
  </si>
  <si>
    <t>Kenya</t>
  </si>
  <si>
    <t>Annual Money Growth (M3),12-month Average</t>
  </si>
  <si>
    <t>Annual Private Sector Credit Growth,12-month Average</t>
  </si>
  <si>
    <t>1-Year Treasury Bill Rate, 12-month Average</t>
  </si>
  <si>
    <t>Weighted Average Overall Deposit Rate, 12-month Average</t>
  </si>
  <si>
    <t>Weighted Average Overall Lending Rate, 12-month Average</t>
  </si>
  <si>
    <t>Exchange Rate Depreciation/Appreciation per USD (%)</t>
  </si>
  <si>
    <r>
      <t>1</t>
    </r>
    <r>
      <rPr>
        <sz val="9.5"/>
        <color theme="1"/>
        <rFont val="Times New Roman"/>
        <family val="1"/>
      </rPr>
      <t>Kenya</t>
    </r>
  </si>
  <si>
    <r>
      <t xml:space="preserve">1 </t>
    </r>
    <r>
      <rPr>
        <sz val="9.5"/>
        <color theme="1"/>
        <rFont val="Times New Roman"/>
        <family val="1"/>
      </rPr>
      <t>Calendar Year</t>
    </r>
  </si>
  <si>
    <r>
      <t>2</t>
    </r>
    <r>
      <rPr>
        <sz val="9.5"/>
        <color theme="1"/>
        <rFont val="Times New Roman"/>
        <family val="1"/>
      </rPr>
      <t>12-month average of the depreciation/appreciation of period average nominal exchange rate</t>
    </r>
  </si>
  <si>
    <t>DRC</t>
  </si>
  <si>
    <t>2020/21</t>
  </si>
  <si>
    <t>2021/22</t>
  </si>
  <si>
    <t>Annual Est.</t>
  </si>
  <si>
    <t> 4.5</t>
  </si>
  <si>
    <t>0.3 </t>
  </si>
  <si>
    <t> -10.4</t>
  </si>
  <si>
    <t>-</t>
  </si>
  <si>
    <t>MACROECONOMIC DEVELOPMENTS IN THE EAC</t>
  </si>
  <si>
    <t>2022/23</t>
  </si>
  <si>
    <r>
      <rPr>
        <vertAlign val="superscript"/>
        <sz val="9.5"/>
        <color theme="1"/>
        <rFont val="Times New Roman"/>
        <family val="1"/>
      </rPr>
      <t>1</t>
    </r>
    <r>
      <rPr>
        <sz val="9.5"/>
        <color theme="1"/>
        <rFont val="Times New Roman"/>
        <family val="1"/>
      </rPr>
      <t>Tanzania</t>
    </r>
  </si>
  <si>
    <t>EAC average</t>
  </si>
  <si>
    <r>
      <rPr>
        <vertAlign val="superscript"/>
        <sz val="9.5"/>
        <color theme="1"/>
        <rFont val="Times New Roman"/>
        <family val="1"/>
      </rPr>
      <t>2</t>
    </r>
    <r>
      <rPr>
        <sz val="9.5"/>
        <color theme="1"/>
        <rFont val="Times New Roman"/>
        <family val="1"/>
      </rPr>
      <t>Tanzania</t>
    </r>
  </si>
  <si>
    <t>2023/24</t>
  </si>
  <si>
    <t>2024/25</t>
  </si>
  <si>
    <t>DR Congo</t>
  </si>
  <si>
    <t>Somalia</t>
  </si>
  <si>
    <t>2000/01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</si>
  <si>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</si>
  <si>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</si>
  <si>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</si>
  <si>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</si>
  <si>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</si>
  <si>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</si>
  <si>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</si>
  <si>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</si>
  <si>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</si>
  <si>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</si>
  <si>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</si>
  <si>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</si>
  <si>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</si>
  <si>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</si>
  <si>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</si>
  <si>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</si>
  <si>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</si>
  <si>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2025/26</t>
  </si>
  <si>
    <r>
      <t xml:space="preserve">NB: </t>
    </r>
    <r>
      <rPr>
        <b/>
        <sz val="11"/>
        <color theme="1"/>
        <rFont val="Calibri"/>
        <family val="2"/>
        <scheme val="minor"/>
      </rPr>
      <t>All data shall be in Financial Year (FY</t>
    </r>
    <r>
      <rPr>
        <sz val="11"/>
        <color theme="1"/>
        <rFont val="Calibri"/>
        <family val="2"/>
        <scheme val="minor"/>
      </rPr>
      <t>), unless the the data is not available. Please put comment if the data provided are in calender year, (e.g data of 2025 put it in 2025/26)</t>
    </r>
  </si>
  <si>
    <t>EAC MACROECONOMIC CONVERGENCE CRITERIA</t>
  </si>
  <si>
    <t>Headline inflation (annual avg, %)</t>
  </si>
  <si>
    <t>Overall fiscal deficit incl. grants (% of GDP)</t>
  </si>
  <si>
    <t>Official FX reserves (months of import cover)</t>
  </si>
  <si>
    <t>Gross public debt, NPV terms (% of GDP)</t>
  </si>
  <si>
    <t>Where to pull the complete 1980–2026 time series yourself</t>
  </si>
  <si>
    <t>I cannot bulk-download 46 years of data through my current tools (no API access to World Bank/IMF bulk endpoints — only individual search snippets), so I won't fabricate precise annual figures for decades of missing data. The links below let you pull the authoritative full series directly and free of charge.</t>
  </si>
  <si>
    <t>Indicator</t>
  </si>
  <si>
    <t>Best source</t>
  </si>
  <si>
    <t>How to get 1980-2026 series</t>
  </si>
  <si>
    <t>Direct link</t>
  </si>
  <si>
    <t>Note: swap the indicator code in the URL to change dataset; CSV also works via ?downloadformat=csv</t>
  </si>
  <si>
    <t>Inflation, consumer prices (annual %)</t>
  </si>
  <si>
    <t>WB WDI: FP.CPI.TOTL.ZG</t>
  </si>
  <si>
    <t>One-click Excel download, ALL countries &amp; years — filter to EAC-8 + 2007-2026 in Excel</t>
  </si>
  <si>
    <t>https://api.worldbank.org/v2/en/indicator/FP.CPI.TOTL.ZG?downloadformat=excel</t>
  </si>
  <si>
    <t>General govt net lending/borrowing (% GDP) — fiscal balance proxy</t>
  </si>
  <si>
    <t>WB WDI: GC.NLD.TOTL.GD.ZS</t>
  </si>
  <si>
    <t>One-click Excel download, ALL countries &amp; years</t>
  </si>
  <si>
    <t>https://api.worldbank.org/v2/en/indicator/GC.NLD.TOTL.GD.ZS?downloadformat=excel</t>
  </si>
  <si>
    <t>Central government debt, total (% GDP)</t>
  </si>
  <si>
    <t>WB WDI: GC.DOD.TOTL.GD.ZS</t>
  </si>
  <si>
    <t>https://api.worldbank.org/v2/en/indicator/GC.DOD.TOTL.GD.ZS?downloadformat=excel</t>
  </si>
  <si>
    <t>Total reserves (months of imports)</t>
  </si>
  <si>
    <t>WB WDI: FI.RES.TOTL.MO</t>
  </si>
  <si>
    <t>https://api.worldbank.org/v2/en/indicator/FI.RES.TOTL.MO?downloadformat=excel</t>
  </si>
  <si>
    <t>Tax revenue (% GDP)</t>
  </si>
  <si>
    <t>WB WDI: GC.TAX.TOTL.GD.ZS</t>
  </si>
  <si>
    <t>https://api.worldbank.org/v2/en/indicator/GC.TAX.TOTL.GD.ZS?downloadformat=excel</t>
  </si>
  <si>
    <t>IMF fiscal balance &amp; debt (alternative, IMF-sourced)</t>
  </si>
  <si>
    <t>IMF WEO DataMapper</t>
  </si>
  <si>
    <t>Interactive chart + CSV export per indicator, all countries</t>
  </si>
  <si>
    <t>https://www.imf.org/external/datamapper/GGXCNL_GDP@WEO/OEMDC/ADVEC/WEOWORLD</t>
  </si>
  <si>
    <t>EAC-specific convergence assessments (official)</t>
  </si>
  <si>
    <t>EAC Secretariat Convergence Reports / Quarterly Statistical Bulletins</t>
  </si>
  <si>
    <t>Published periodically by the EAC Secretariat (Arusha) and reproduced via tralac.org</t>
  </si>
  <si>
    <t>https://www.tralac.org (search 'EAC quarterly statistics bulletin')</t>
  </si>
  <si>
    <t>Country-level Article IV / program reports</t>
  </si>
  <si>
    <t>IMF Country Reports</t>
  </si>
  <si>
    <t>Richest source for fiscal deficit, debt, reserves detail per country per year</t>
  </si>
  <si>
    <t>https://www.imf.org/en/countries (select country)</t>
  </si>
  <si>
    <t>Practical notes on data availability by era</t>
  </si>
  <si>
    <t>• 1980s-1990s: Reasonably complete inflation &amp; GDP series exist (WB/IMF) for Kenya, Uganda, Tanzania. Fiscal deficit, public debt (NPV), and reserves data are much sparser and less standardized pre-1990s.</t>
  </si>
  <si>
    <t>• Rwanda &amp; Burundi: Data severely disrupted around the 1994 genocide (Rwanda) and 1993-2005 civil conflict (Burundi) — treat pre-2000 figures with caution.</t>
  </si>
  <si>
    <t>• South Sudan: No data prior to 2011 independence; post-2011 data is intermittent due to conflict and limited statistical capacity.</t>
  </si>
  <si>
    <t>• DR Congo &amp; Somalia: Long-run comparable macro data is very limited; Somalia in particular has large data gaps through the 1990s-2010s due to state collapse.</t>
  </si>
  <si>
    <t>• The EAC's own convergence criteria only exist from 2007 (revised 2013) — so 'convergence' as a formal EAC concept has no meaningful pre-2007 baseline; 1980-2006 data is only useful as general macro/historical context, not as a convergence assessment.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</si>
</sst>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22" x14ac:knownFonts="1">
    <font>
      <sz val="11"/>
      <color theme="1"/>
      <name val="Calibri"/>
      <family val="2"/>
      <scheme val="minor"/>
    </font>
    <font>
      <b/>
      <sz val="9.5"/>
      <color theme="1"/>
      <name val="Times New Roman"/>
      <family val="1"/>
    </font>
    <font>
      <sz val="9.5"/>
      <color theme="1"/>
      <name val="Times New Roman"/>
      <family val="1"/>
    </font>
    <font>
      <sz val="11"/>
      <color theme="1"/>
      <name val="Times New Roman"/>
      <family val="1"/>
    </font>
    <font>
      <vertAlign val="superscript"/>
      <sz val="9.5"/>
      <color theme="1"/>
      <name val="Times New Roman"/>
      <family val="1"/>
    </font>
    <font>
      <sz val="8"/>
      <name val="Calibri"/>
      <family val="2"/>
      <scheme val="minor"/>
    </font>
    <font>
      <sz val="9.5"/>
      <color rgb="FFFF0000"/>
      <name val="Times New Roman"/>
      <family val="1"/>
    </font>
    <font>
      <sz val="10"/>
      <color theme="1"/>
      <name val="Times New Roman"/>
      <family val="1"/>
    </font>
    <font>
      <sz val="9.5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3"/>
      <color rgb="FF1F4E5F"/>
      <name val="Arial"/>
      <family val="2"/>
    </font>
    <font>
      <i/>
      <sz val="9"/>
      <color rgb="FF555555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u/>
      <sz val="10"/>
      <color rgb="FF0563C1"/>
      <name val="Arial"/>
      <family val="2"/>
    </font>
    <font>
      <b/>
      <sz val="11"/>
      <name val="Arial"/>
      <family val="2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1F4E5F"/>
        <bgColor rgb="FF1F4E5F"/>
      </patternFill>
    </fill>
    <fill>
      <patternFill patternType="solid">
        <fgColor theme="7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3">
    <xf numFmtId="0" fontId="0" fillId="0" borderId="0"/>
    <xf numFmtId="0" fontId="9" fillId="0" borderId="0"/>
    <xf numFmtId="0" fontId="21" fillId="0" borderId="0" applyNumberFormat="0" applyFill="0" applyBorder="0" applyAlignment="0" applyProtection="0"/>
  </cellStyleXfs>
  <cellXfs count="100">
    <xf numFmtId="0" fontId="0" fillId="0" borderId="0" xfId="0"/>
    <xf numFmtId="0" fontId="2" fillId="0" borderId="5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164" fontId="2" fillId="0" borderId="3" xfId="0" applyNumberFormat="1" applyFont="1" applyBorder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164" fontId="2" fillId="0" borderId="5" xfId="0" applyNumberFormat="1" applyFont="1" applyBorder="1" applyAlignment="1">
      <alignment horizontal="center" vertical="top" wrapText="1"/>
    </xf>
    <xf numFmtId="164" fontId="2" fillId="0" borderId="5" xfId="0" applyNumberFormat="1" applyFont="1" applyBorder="1" applyAlignment="1">
      <alignment horizontal="center" vertical="top"/>
    </xf>
    <xf numFmtId="0" fontId="7" fillId="2" borderId="0" xfId="0" applyFont="1" applyFill="1" applyAlignment="1">
      <alignment horizontal="center" vertical="top"/>
    </xf>
    <xf numFmtId="164" fontId="2" fillId="0" borderId="8" xfId="0" applyNumberFormat="1" applyFont="1" applyBorder="1" applyAlignment="1">
      <alignment horizontal="center" vertical="top" wrapText="1"/>
    </xf>
    <xf numFmtId="164" fontId="6" fillId="0" borderId="3" xfId="0" applyNumberFormat="1" applyFont="1" applyBorder="1" applyAlignment="1">
      <alignment horizontal="center" vertical="top" wrapText="1"/>
    </xf>
    <xf numFmtId="164" fontId="6" fillId="0" borderId="5" xfId="0" applyNumberFormat="1" applyFont="1" applyBorder="1" applyAlignment="1">
      <alignment horizontal="center" vertical="top" wrapText="1"/>
    </xf>
    <xf numFmtId="164" fontId="6" fillId="0" borderId="5" xfId="0" applyNumberFormat="1" applyFont="1" applyBorder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164" fontId="0" fillId="0" borderId="0" xfId="0" applyNumberFormat="1"/>
    <xf numFmtId="164" fontId="2" fillId="0" borderId="10" xfId="0" applyNumberFormat="1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 wrapText="1"/>
    </xf>
    <xf numFmtId="164" fontId="6" fillId="0" borderId="2" xfId="0" applyNumberFormat="1" applyFont="1" applyBorder="1" applyAlignment="1">
      <alignment horizontal="center" vertical="top" wrapText="1"/>
    </xf>
    <xf numFmtId="164" fontId="2" fillId="0" borderId="2" xfId="0" applyNumberFormat="1" applyFont="1" applyBorder="1" applyAlignment="1">
      <alignment horizontal="center" vertical="top" wrapText="1"/>
    </xf>
    <xf numFmtId="164" fontId="6" fillId="0" borderId="10" xfId="0" applyNumberFormat="1" applyFont="1" applyBorder="1" applyAlignment="1">
      <alignment horizontal="center" vertical="top" wrapText="1"/>
    </xf>
    <xf numFmtId="164" fontId="8" fillId="0" borderId="11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top"/>
    </xf>
    <xf numFmtId="164" fontId="1" fillId="3" borderId="5" xfId="0" applyNumberFormat="1" applyFont="1" applyFill="1" applyBorder="1" applyAlignment="1">
      <alignment horizontal="center" vertical="top"/>
    </xf>
    <xf numFmtId="164" fontId="1" fillId="3" borderId="5" xfId="0" applyNumberFormat="1" applyFont="1" applyFill="1" applyBorder="1" applyAlignment="1">
      <alignment horizontal="center" vertical="top" wrapText="1"/>
    </xf>
    <xf numFmtId="164" fontId="1" fillId="3" borderId="10" xfId="0" applyNumberFormat="1" applyFont="1" applyFill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10" fillId="0" borderId="0" xfId="0" applyFont="1"/>
    <xf numFmtId="0" fontId="3" fillId="0" borderId="0" xfId="0" applyFont="1"/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3" fillId="5" borderId="8" xfId="0" applyFont="1" applyFill="1" applyBorder="1" applyAlignment="1">
      <alignment vertical="center"/>
    </xf>
    <xf numFmtId="0" fontId="10" fillId="5" borderId="8" xfId="0" applyFont="1" applyFill="1" applyBorder="1" applyAlignment="1">
      <alignment vertical="center"/>
    </xf>
    <xf numFmtId="0" fontId="10" fillId="6" borderId="8" xfId="0" applyFont="1" applyFill="1" applyBorder="1" applyAlignment="1">
      <alignment vertical="center"/>
    </xf>
    <xf numFmtId="0" fontId="10" fillId="6" borderId="14" xfId="0" applyFont="1" applyFill="1" applyBorder="1" applyAlignment="1">
      <alignment vertical="center"/>
    </xf>
    <xf numFmtId="165" fontId="3" fillId="0" borderId="8" xfId="0" applyNumberFormat="1" applyFont="1" applyBorder="1" applyAlignment="1">
      <alignment horizontal="center" vertical="center" wrapText="1"/>
    </xf>
    <xf numFmtId="165" fontId="3" fillId="0" borderId="8" xfId="0" applyNumberFormat="1" applyFont="1" applyBorder="1" applyAlignment="1">
      <alignment horizontal="center" vertical="top" wrapText="1"/>
    </xf>
    <xf numFmtId="165" fontId="10" fillId="5" borderId="8" xfId="0" applyNumberFormat="1" applyFont="1" applyFill="1" applyBorder="1" applyAlignment="1">
      <alignment vertical="center"/>
    </xf>
    <xf numFmtId="165" fontId="12" fillId="0" borderId="8" xfId="0" applyNumberFormat="1" applyFont="1" applyBorder="1" applyAlignment="1">
      <alignment horizontal="center" vertical="center" wrapText="1"/>
    </xf>
    <xf numFmtId="165" fontId="12" fillId="0" borderId="8" xfId="0" applyNumberFormat="1" applyFont="1" applyBorder="1" applyAlignment="1">
      <alignment horizontal="center" vertical="top" wrapText="1"/>
    </xf>
    <xf numFmtId="165" fontId="10" fillId="6" borderId="8" xfId="0" applyNumberFormat="1" applyFont="1" applyFill="1" applyBorder="1" applyAlignment="1">
      <alignment horizontal="center" vertical="center"/>
    </xf>
    <xf numFmtId="165" fontId="3" fillId="0" borderId="8" xfId="0" applyNumberFormat="1" applyFont="1" applyBorder="1" applyAlignment="1">
      <alignment horizontal="center" vertical="center"/>
    </xf>
    <xf numFmtId="165" fontId="3" fillId="0" borderId="8" xfId="0" applyNumberFormat="1" applyFont="1" applyBorder="1" applyAlignment="1">
      <alignment horizontal="center" vertical="top"/>
    </xf>
    <xf numFmtId="165" fontId="12" fillId="0" borderId="8" xfId="0" applyNumberFormat="1" applyFont="1" applyBorder="1" applyAlignment="1">
      <alignment horizontal="center" vertical="center"/>
    </xf>
    <xf numFmtId="165" fontId="12" fillId="0" borderId="8" xfId="0" applyNumberFormat="1" applyFont="1" applyBorder="1" applyAlignment="1">
      <alignment horizontal="center" vertical="top"/>
    </xf>
    <xf numFmtId="165" fontId="3" fillId="0" borderId="8" xfId="0" applyNumberFormat="1" applyFont="1" applyBorder="1" applyAlignment="1">
      <alignment horizontal="center"/>
    </xf>
    <xf numFmtId="165" fontId="10" fillId="6" borderId="14" xfId="0" applyNumberFormat="1" applyFont="1" applyFill="1" applyBorder="1" applyAlignment="1">
      <alignment horizontal="center" vertical="center"/>
    </xf>
    <xf numFmtId="0" fontId="0" fillId="4" borderId="0" xfId="0" applyFill="1"/>
    <xf numFmtId="0" fontId="3" fillId="6" borderId="8" xfId="0" applyFont="1" applyFill="1" applyBorder="1" applyAlignment="1">
      <alignment vertical="center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top" wrapText="1"/>
    </xf>
    <xf numFmtId="165" fontId="3" fillId="7" borderId="8" xfId="0" applyNumberFormat="1" applyFont="1" applyFill="1" applyBorder="1" applyAlignment="1">
      <alignment horizontal="center" vertical="center" wrapText="1"/>
    </xf>
    <xf numFmtId="165" fontId="3" fillId="7" borderId="8" xfId="0" applyNumberFormat="1" applyFont="1" applyFill="1" applyBorder="1" applyAlignment="1">
      <alignment horizontal="center" vertical="top" wrapText="1"/>
    </xf>
    <xf numFmtId="0" fontId="17" fillId="8" borderId="15" xfId="0" applyFont="1" applyFill="1" applyBorder="1" applyAlignment="1">
      <alignment horizontal="center" vertical="center" wrapText="1"/>
    </xf>
    <xf numFmtId="0" fontId="18" fillId="0" borderId="15" xfId="0" applyFont="1" applyBorder="1" applyAlignment="1">
      <alignment vertical="center" wrapText="1"/>
    </xf>
    <xf numFmtId="0" fontId="19" fillId="0" borderId="15" xfId="0" applyFont="1" applyBorder="1" applyAlignment="1">
      <alignment vertical="center" wrapText="1"/>
    </xf>
    <xf numFmtId="0" fontId="20" fillId="0" borderId="0" xfId="0" applyFont="1"/>
    <xf numFmtId="4" fontId="0" fillId="7" borderId="0" xfId="0" applyNumberFormat="1" applyFill="1"/>
    <xf numFmtId="0" fontId="21" fillId="0" borderId="15" xfId="2" applyBorder="1" applyAlignment="1">
      <alignment vertical="center" wrapText="1"/>
    </xf>
    <xf numFmtId="165" fontId="3" fillId="7" borderId="8" xfId="0" applyNumberFormat="1" applyFont="1" applyFill="1" applyBorder="1" applyAlignment="1">
      <alignment horizontal="center"/>
    </xf>
    <xf numFmtId="165" fontId="3" fillId="7" borderId="8" xfId="0" applyNumberFormat="1" applyFont="1" applyFill="1" applyBorder="1" applyAlignment="1">
      <alignment horizontal="center" vertical="center"/>
    </xf>
    <xf numFmtId="165" fontId="3" fillId="7" borderId="8" xfId="0" applyNumberFormat="1" applyFont="1" applyFill="1" applyBorder="1" applyAlignment="1">
      <alignment horizontal="center" vertical="top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0" fillId="0" borderId="6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5" borderId="8" xfId="0" applyFont="1" applyFill="1" applyBorder="1" applyAlignment="1">
      <alignment vertical="center" wrapText="1"/>
    </xf>
    <xf numFmtId="0" fontId="3" fillId="5" borderId="8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vertical="center" wrapText="1"/>
    </xf>
    <xf numFmtId="0" fontId="3" fillId="6" borderId="8" xfId="0" applyFont="1" applyFill="1" applyBorder="1"/>
    <xf numFmtId="0" fontId="3" fillId="6" borderId="14" xfId="0" applyFont="1" applyFill="1" applyBorder="1"/>
    <xf numFmtId="0" fontId="10" fillId="0" borderId="0" xfId="0" applyFont="1"/>
    <xf numFmtId="0" fontId="0" fillId="0" borderId="0" xfId="0"/>
    <xf numFmtId="0" fontId="10" fillId="0" borderId="6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18" fillId="0" borderId="0" xfId="0" applyFont="1" applyAlignment="1">
      <alignment wrapText="1"/>
    </xf>
    <xf numFmtId="0" fontId="15" fillId="0" borderId="0" xfId="0" applyFont="1"/>
    <xf numFmtId="0" fontId="16" fillId="0" borderId="0" xfId="0" applyFont="1"/>
    <xf numFmtId="165" fontId="3" fillId="9" borderId="8" xfId="0" applyNumberFormat="1" applyFont="1" applyFill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Normal 4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api.worldbank.org/v2/en/indicator/GC.DOD.TOTL.GD.ZS?downloadformat=excel" TargetMode="External"/><Relationship Id="rId2" Type="http://schemas.openxmlformats.org/officeDocument/2006/relationships/hyperlink" Target="https://api.worldbank.org/v2/en/indicator/GC.NLD.TOTL.GD.ZS?downloadformat=excel" TargetMode="External"/><Relationship Id="rId1" Type="http://schemas.openxmlformats.org/officeDocument/2006/relationships/hyperlink" Target="https://api.worldbank.org/v2/en/indicator/FP.CPI.TOTL.ZG?downloadformat=excel" TargetMode="External"/><Relationship Id="rId6" Type="http://schemas.openxmlformats.org/officeDocument/2006/relationships/hyperlink" Target="https://www.imf.org/external/datamapper/GGXCNL_GDP@WEO/OEMDC/ADVEC/WEOWORLD" TargetMode="External"/><Relationship Id="rId5" Type="http://schemas.openxmlformats.org/officeDocument/2006/relationships/hyperlink" Target="https://api.worldbank.org/v2/en/indicator/GC.TAX.TOTL.GD.ZS?downloadformat=excel" TargetMode="External"/><Relationship Id="rId4" Type="http://schemas.openxmlformats.org/officeDocument/2006/relationships/hyperlink" Target="https://api.worldbank.org/v2/en/indicator/FI.RES.TOTL.MO?downloadformat=exc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77"/>
  <sheetViews>
    <sheetView zoomScaleNormal="100" workbookViewId="0">
      <pane xSplit="3" ySplit="3" topLeftCell="D41" activePane="bottomRight" state="frozen"/>
      <selection pane="topRight" activeCell="D1" sqref="D1"/>
      <selection pane="bottomLeft" activeCell="A4" sqref="A4"/>
      <selection pane="bottomRight" activeCell="D21" sqref="D21"/>
    </sheetView>
  </sheetViews>
  <sheetFormatPr defaultRowHeight="14.4" x14ac:dyDescent="0.3"/>
  <cols>
    <col min="3" max="3" width="15.77734375" customWidth="1"/>
  </cols>
  <sheetData>
    <row r="2" spans="2:10" ht="15.75" customHeight="1" x14ac:dyDescent="0.3">
      <c r="B2" s="71" t="s">
        <v>28</v>
      </c>
      <c r="C2" s="72"/>
      <c r="D2" s="72"/>
      <c r="E2" s="72"/>
      <c r="F2" s="72"/>
      <c r="G2" s="72"/>
      <c r="H2" s="73"/>
    </row>
    <row r="3" spans="2:10" ht="15.75" customHeight="1" x14ac:dyDescent="0.3">
      <c r="B3" s="24"/>
      <c r="C3" s="24" t="s">
        <v>0</v>
      </c>
      <c r="D3" s="23" t="s">
        <v>1</v>
      </c>
      <c r="E3" s="23" t="s">
        <v>2</v>
      </c>
      <c r="F3" s="23" t="s">
        <v>21</v>
      </c>
      <c r="G3" s="23" t="s">
        <v>22</v>
      </c>
      <c r="H3" s="23" t="s">
        <v>29</v>
      </c>
      <c r="J3" s="15"/>
    </row>
    <row r="4" spans="2:10" ht="15.75" customHeight="1" thickBot="1" x14ac:dyDescent="0.35">
      <c r="B4" s="69" t="s">
        <v>3</v>
      </c>
      <c r="C4" s="1" t="s">
        <v>4</v>
      </c>
      <c r="D4" s="8" t="s">
        <v>24</v>
      </c>
      <c r="E4" s="8" t="s">
        <v>25</v>
      </c>
      <c r="F4" s="31">
        <v>3.1</v>
      </c>
      <c r="G4" s="32">
        <v>1.8</v>
      </c>
      <c r="H4" s="32">
        <v>2.8</v>
      </c>
      <c r="I4" s="16">
        <f>H4-G4</f>
        <v>0.99999999999999978</v>
      </c>
    </row>
    <row r="5" spans="2:10" ht="15" thickBot="1" x14ac:dyDescent="0.35">
      <c r="B5" s="69"/>
      <c r="C5" s="1" t="s">
        <v>20</v>
      </c>
      <c r="D5" s="8"/>
      <c r="E5" s="8">
        <v>1.7</v>
      </c>
      <c r="F5" s="8">
        <v>6</v>
      </c>
      <c r="G5" s="17">
        <v>8.8000000000000007</v>
      </c>
      <c r="H5" s="17">
        <v>6.1</v>
      </c>
      <c r="I5" s="16">
        <f t="shared" ref="I5:I8" si="0">H5-G5</f>
        <v>-2.7000000000000011</v>
      </c>
    </row>
    <row r="6" spans="2:10" ht="15.6" thickBot="1" x14ac:dyDescent="0.35">
      <c r="B6" s="69"/>
      <c r="C6" s="2" t="s">
        <v>17</v>
      </c>
      <c r="D6" s="9">
        <v>5.1141588576780084</v>
      </c>
      <c r="E6" s="8">
        <v>-0.27276632743881257</v>
      </c>
      <c r="F6" s="8">
        <v>7.590489473334662</v>
      </c>
      <c r="G6" s="17">
        <v>4.8466348557707146</v>
      </c>
      <c r="H6" s="17">
        <v>5.6</v>
      </c>
      <c r="I6" s="16">
        <f t="shared" si="0"/>
        <v>0.75336514422928502</v>
      </c>
    </row>
    <row r="7" spans="2:10" ht="15" thickBot="1" x14ac:dyDescent="0.35">
      <c r="B7" s="69"/>
      <c r="C7" s="1" t="s">
        <v>5</v>
      </c>
      <c r="D7" s="8">
        <v>8.8000000000000007</v>
      </c>
      <c r="E7" s="8">
        <v>2.2999999999999998</v>
      </c>
      <c r="F7" s="8">
        <v>4.4000000000000004</v>
      </c>
      <c r="G7" s="17">
        <v>8.1999999999999993</v>
      </c>
      <c r="H7" s="17">
        <v>6.9</v>
      </c>
      <c r="I7" s="16">
        <f t="shared" si="0"/>
        <v>-1.2999999999999989</v>
      </c>
    </row>
    <row r="8" spans="2:10" ht="15" thickBot="1" x14ac:dyDescent="0.35">
      <c r="B8" s="69"/>
      <c r="C8" s="1" t="s">
        <v>6</v>
      </c>
      <c r="D8" s="8">
        <v>11.380297827922764</v>
      </c>
      <c r="E8" s="8">
        <v>-3.5132658943513153</v>
      </c>
      <c r="F8" s="8">
        <v>5.3</v>
      </c>
      <c r="G8" s="17">
        <v>-5.2</v>
      </c>
      <c r="H8" s="17">
        <v>-0.1</v>
      </c>
      <c r="I8" s="16">
        <f t="shared" si="0"/>
        <v>5.1000000000000005</v>
      </c>
    </row>
    <row r="9" spans="2:10" ht="15.6" thickBot="1" x14ac:dyDescent="0.35">
      <c r="B9" s="69"/>
      <c r="C9" s="1" t="s">
        <v>30</v>
      </c>
      <c r="D9" s="8">
        <v>6.9569645292703264</v>
      </c>
      <c r="E9" s="8">
        <v>4.8264876866929818</v>
      </c>
      <c r="F9" s="8">
        <v>4.908147228865678</v>
      </c>
      <c r="G9" s="17">
        <v>4.7199782584220751</v>
      </c>
      <c r="H9" s="17">
        <v>5.0999999999999996</v>
      </c>
      <c r="I9" s="16">
        <f>H9-G9</f>
        <v>0.38002174157792457</v>
      </c>
    </row>
    <row r="10" spans="2:10" ht="15" thickBot="1" x14ac:dyDescent="0.35">
      <c r="B10" s="69"/>
      <c r="C10" s="1" t="s">
        <v>8</v>
      </c>
      <c r="D10" s="9">
        <v>6.4</v>
      </c>
      <c r="E10" s="8">
        <v>3</v>
      </c>
      <c r="F10" s="8">
        <v>3.5</v>
      </c>
      <c r="G10" s="17">
        <v>6.3</v>
      </c>
      <c r="H10" s="17">
        <v>4.8</v>
      </c>
      <c r="I10" s="16">
        <f>H10-G10</f>
        <v>-1.5</v>
      </c>
    </row>
    <row r="11" spans="2:10" ht="15" thickBot="1" x14ac:dyDescent="0.35">
      <c r="B11" s="25"/>
      <c r="C11" s="27" t="s">
        <v>31</v>
      </c>
      <c r="D11" s="28">
        <f>AVERAGE(D4:D10)</f>
        <v>7.7302842429742196</v>
      </c>
      <c r="E11" s="29">
        <f t="shared" ref="E11:H11" si="1">AVERAGE(E4:E10)</f>
        <v>1.3400759108171423</v>
      </c>
      <c r="F11" s="29">
        <f t="shared" si="1"/>
        <v>4.9712338146000485</v>
      </c>
      <c r="G11" s="30">
        <f t="shared" si="1"/>
        <v>4.2095161591703985</v>
      </c>
      <c r="H11" s="30">
        <f t="shared" si="1"/>
        <v>4.4571428571428573</v>
      </c>
    </row>
    <row r="12" spans="2:10" ht="15" thickBot="1" x14ac:dyDescent="0.35">
      <c r="B12" s="70" t="s">
        <v>9</v>
      </c>
      <c r="C12" s="3" t="s">
        <v>4</v>
      </c>
      <c r="D12" s="11" t="s">
        <v>26</v>
      </c>
      <c r="E12" s="11">
        <v>-9.7604359654791644</v>
      </c>
      <c r="F12" s="11">
        <v>-10.199999999999999</v>
      </c>
      <c r="G12" s="18">
        <v>-13.7</v>
      </c>
      <c r="H12" s="18">
        <v>-12.175818327717796</v>
      </c>
      <c r="I12" s="16">
        <f>H12-G12</f>
        <v>1.5241816722822037</v>
      </c>
    </row>
    <row r="13" spans="2:10" ht="15" thickBot="1" x14ac:dyDescent="0.35">
      <c r="B13" s="69"/>
      <c r="C13" s="3" t="s">
        <v>20</v>
      </c>
      <c r="D13" s="12"/>
      <c r="E13" s="12"/>
      <c r="F13" s="12"/>
      <c r="G13" s="19"/>
      <c r="H13" s="19"/>
      <c r="I13" s="16">
        <f t="shared" ref="I13:I18" si="2">H13-G13</f>
        <v>0</v>
      </c>
    </row>
    <row r="14" spans="2:10" ht="15" thickBot="1" x14ac:dyDescent="0.35">
      <c r="B14" s="69"/>
      <c r="C14" s="3" t="s">
        <v>10</v>
      </c>
      <c r="D14" s="4">
        <v>-4.7487303850487441</v>
      </c>
      <c r="E14" s="4">
        <v>-5.0420962054116254</v>
      </c>
      <c r="F14" s="4">
        <v>-5.4188825204653988</v>
      </c>
      <c r="G14" s="20">
        <v>-5.1187117826279138</v>
      </c>
      <c r="H14" s="20">
        <v>-3.9744933070023727</v>
      </c>
      <c r="I14" s="16">
        <f t="shared" si="2"/>
        <v>1.1442184756255411</v>
      </c>
    </row>
    <row r="15" spans="2:10" ht="15" thickBot="1" x14ac:dyDescent="0.35">
      <c r="B15" s="69"/>
      <c r="C15" s="1" t="s">
        <v>5</v>
      </c>
      <c r="D15" s="8">
        <v>-11.1</v>
      </c>
      <c r="E15" s="8">
        <v>-12.2</v>
      </c>
      <c r="F15" s="8">
        <v>-11</v>
      </c>
      <c r="G15" s="17">
        <v>-9.6</v>
      </c>
      <c r="H15" s="17">
        <v>-11.7</v>
      </c>
      <c r="I15" s="16">
        <f t="shared" si="2"/>
        <v>-2.0999999999999996</v>
      </c>
    </row>
    <row r="16" spans="2:10" ht="15" thickBot="1" x14ac:dyDescent="0.35">
      <c r="B16" s="69"/>
      <c r="C16" s="1" t="s">
        <v>6</v>
      </c>
      <c r="D16" s="8">
        <v>1.5416431660086483</v>
      </c>
      <c r="E16" s="8">
        <v>-13.800298062593145</v>
      </c>
      <c r="F16" s="8">
        <v>-2.7095026127346626</v>
      </c>
      <c r="G16" s="17">
        <v>8.6329431438127084</v>
      </c>
      <c r="H16" s="17">
        <v>0.8</v>
      </c>
      <c r="I16" s="16">
        <f t="shared" si="2"/>
        <v>-7.8329431438127086</v>
      </c>
    </row>
    <row r="17" spans="2:9" ht="15" thickBot="1" x14ac:dyDescent="0.35">
      <c r="B17" s="69"/>
      <c r="C17" s="1" t="s">
        <v>7</v>
      </c>
      <c r="D17" s="8">
        <v>-3.7383816915224024</v>
      </c>
      <c r="E17" s="8">
        <v>-2.1557084371820459</v>
      </c>
      <c r="F17" s="8">
        <v>-2.7550632084253466</v>
      </c>
      <c r="G17" s="17">
        <v>-4.8044420817333666</v>
      </c>
      <c r="H17" s="17">
        <v>-6.2062527483738625</v>
      </c>
      <c r="I17" s="16">
        <f t="shared" si="2"/>
        <v>-1.4018106666404959</v>
      </c>
    </row>
    <row r="18" spans="2:9" ht="15" thickBot="1" x14ac:dyDescent="0.35">
      <c r="B18" s="69"/>
      <c r="C18" s="1" t="s">
        <v>8</v>
      </c>
      <c r="D18" s="8">
        <v>-7.5</v>
      </c>
      <c r="E18" s="8">
        <v>-6.7</v>
      </c>
      <c r="F18" s="8">
        <v>9.5</v>
      </c>
      <c r="G18" s="17">
        <v>7.9</v>
      </c>
      <c r="H18" s="17">
        <v>3</v>
      </c>
      <c r="I18" s="16">
        <f t="shared" si="2"/>
        <v>-4.9000000000000004</v>
      </c>
    </row>
    <row r="19" spans="2:9" ht="15" thickBot="1" x14ac:dyDescent="0.35">
      <c r="B19" s="25"/>
      <c r="C19" s="27" t="s">
        <v>31</v>
      </c>
      <c r="D19" s="28">
        <f>AVERAGE(D12:D18)</f>
        <v>-5.1090937821124998</v>
      </c>
      <c r="E19" s="29">
        <f t="shared" ref="E19" si="3">AVERAGE(E12:E18)</f>
        <v>-8.2764231117776621</v>
      </c>
      <c r="F19" s="29">
        <f t="shared" ref="F19" si="4">AVERAGE(F12:F18)</f>
        <v>-3.7639080569375678</v>
      </c>
      <c r="G19" s="30">
        <f t="shared" ref="G19" si="5">AVERAGE(G12:G18)</f>
        <v>-2.7817017867580951</v>
      </c>
      <c r="H19" s="30">
        <f t="shared" ref="H19" si="6">AVERAGE(H12:H18)</f>
        <v>-5.0427607305156714</v>
      </c>
    </row>
    <row r="20" spans="2:9" ht="15" thickBot="1" x14ac:dyDescent="0.35">
      <c r="B20" s="75" t="s">
        <v>11</v>
      </c>
      <c r="C20" s="1" t="s">
        <v>4</v>
      </c>
      <c r="D20" s="31">
        <v>22.6</v>
      </c>
      <c r="E20" s="31">
        <v>24.1</v>
      </c>
      <c r="F20" s="31">
        <v>20.3</v>
      </c>
      <c r="G20" s="17">
        <v>37.160473848593334</v>
      </c>
      <c r="H20" s="17">
        <v>15.452110221624803</v>
      </c>
    </row>
    <row r="21" spans="2:9" ht="15" thickBot="1" x14ac:dyDescent="0.35">
      <c r="B21" s="76"/>
      <c r="C21" s="1" t="s">
        <v>20</v>
      </c>
      <c r="D21" s="13"/>
      <c r="E21" s="13"/>
      <c r="F21" s="13"/>
      <c r="G21" s="21"/>
      <c r="H21" s="21"/>
    </row>
    <row r="22" spans="2:9" ht="15" thickBot="1" x14ac:dyDescent="0.35">
      <c r="B22" s="76"/>
      <c r="C22" s="1" t="s">
        <v>10</v>
      </c>
      <c r="D22" s="8">
        <v>9.2437653257518413</v>
      </c>
      <c r="E22" s="8">
        <v>9.1400128942653591</v>
      </c>
      <c r="F22" s="8">
        <v>6.3704903898148979</v>
      </c>
      <c r="G22" s="17">
        <v>7.3758401839009391</v>
      </c>
      <c r="H22" s="17">
        <v>13.377679608522008</v>
      </c>
    </row>
    <row r="23" spans="2:9" ht="15" thickBot="1" x14ac:dyDescent="0.35">
      <c r="B23" s="76"/>
      <c r="C23" s="1" t="s">
        <v>5</v>
      </c>
      <c r="D23" s="8">
        <v>12.674740515400174</v>
      </c>
      <c r="E23" s="8">
        <v>18.668800875966003</v>
      </c>
      <c r="F23" s="8">
        <v>17.411395825178584</v>
      </c>
      <c r="G23" s="17">
        <v>20.442445806388005</v>
      </c>
      <c r="H23" s="17">
        <v>18.2</v>
      </c>
    </row>
    <row r="24" spans="2:9" ht="15" thickBot="1" x14ac:dyDescent="0.35">
      <c r="B24" s="76"/>
      <c r="C24" s="1" t="s">
        <v>6</v>
      </c>
      <c r="D24" s="8">
        <v>35.4</v>
      </c>
      <c r="E24" s="8">
        <v>47.4</v>
      </c>
      <c r="F24" s="8">
        <v>57.4</v>
      </c>
      <c r="G24" s="17">
        <v>77.2</v>
      </c>
      <c r="H24" s="17">
        <v>29.9</v>
      </c>
    </row>
    <row r="25" spans="2:9" ht="15" thickBot="1" x14ac:dyDescent="0.35">
      <c r="B25" s="76"/>
      <c r="C25" s="1" t="s">
        <v>7</v>
      </c>
      <c r="D25" s="8">
        <v>5.2209190533104186</v>
      </c>
      <c r="E25" s="8">
        <v>10.043334121371402</v>
      </c>
      <c r="F25" s="8">
        <v>7.3350746116944796</v>
      </c>
      <c r="G25" s="17">
        <v>12.245661223424253</v>
      </c>
      <c r="H25" s="17">
        <v>13.700845073742409</v>
      </c>
    </row>
    <row r="26" spans="2:9" ht="15" thickBot="1" x14ac:dyDescent="0.35">
      <c r="B26" s="76"/>
      <c r="C26" s="1" t="s">
        <v>8</v>
      </c>
      <c r="D26" s="8">
        <v>9.1999999999999993</v>
      </c>
      <c r="E26" s="8">
        <v>16.5</v>
      </c>
      <c r="F26" s="8"/>
      <c r="G26" s="17">
        <v>7.2</v>
      </c>
      <c r="H26" s="17">
        <v>7</v>
      </c>
    </row>
    <row r="27" spans="2:9" ht="15" thickBot="1" x14ac:dyDescent="0.35">
      <c r="B27" s="26"/>
      <c r="C27" s="27" t="s">
        <v>31</v>
      </c>
      <c r="D27" s="28">
        <f>AVERAGE(D20:D26)</f>
        <v>15.723237482410406</v>
      </c>
      <c r="E27" s="29">
        <f t="shared" ref="E27" si="7">AVERAGE(E20:E26)</f>
        <v>20.975357981933794</v>
      </c>
      <c r="F27" s="29">
        <f t="shared" ref="F27" si="8">AVERAGE(F20:F26)</f>
        <v>21.763392165337592</v>
      </c>
      <c r="G27" s="30">
        <f t="shared" ref="G27" si="9">AVERAGE(G20:G26)</f>
        <v>26.937403510384424</v>
      </c>
      <c r="H27" s="30">
        <f t="shared" ref="H27" si="10">AVERAGE(H20:H26)</f>
        <v>16.271772483981536</v>
      </c>
    </row>
    <row r="28" spans="2:9" ht="15" thickBot="1" x14ac:dyDescent="0.35">
      <c r="B28" s="77" t="s">
        <v>12</v>
      </c>
      <c r="C28" s="1" t="s">
        <v>4</v>
      </c>
      <c r="D28" s="9">
        <v>16.954733335448722</v>
      </c>
      <c r="E28" s="8">
        <v>21.540085719391211</v>
      </c>
      <c r="F28" s="8">
        <v>67.903533073024633</v>
      </c>
      <c r="G28" s="17">
        <v>45.28073297633486</v>
      </c>
      <c r="H28" s="17">
        <v>29.443934572710639</v>
      </c>
    </row>
    <row r="29" spans="2:9" ht="15" thickBot="1" x14ac:dyDescent="0.35">
      <c r="B29" s="78"/>
      <c r="C29" s="1" t="s">
        <v>20</v>
      </c>
      <c r="D29" s="14"/>
      <c r="E29" s="13"/>
      <c r="F29" s="13"/>
      <c r="G29" s="21"/>
      <c r="H29" s="21"/>
    </row>
    <row r="30" spans="2:9" ht="15" thickBot="1" x14ac:dyDescent="0.35">
      <c r="B30" s="78"/>
      <c r="C30" s="1" t="s">
        <v>10</v>
      </c>
      <c r="D30" s="9">
        <v>5.1517853047434059</v>
      </c>
      <c r="E30" s="8">
        <v>7.5995562392510374</v>
      </c>
      <c r="F30" s="8">
        <v>7.7205916691382992</v>
      </c>
      <c r="G30" s="17">
        <v>12.261908046881898</v>
      </c>
      <c r="H30" s="17">
        <v>12.150111253180684</v>
      </c>
    </row>
    <row r="31" spans="2:9" ht="15" thickBot="1" x14ac:dyDescent="0.35">
      <c r="B31" s="78"/>
      <c r="C31" s="1" t="s">
        <v>5</v>
      </c>
      <c r="D31" s="9">
        <v>28.88071121640683</v>
      </c>
      <c r="E31" s="8">
        <v>13.882761006340246</v>
      </c>
      <c r="F31" s="8">
        <v>19.049379957807243</v>
      </c>
      <c r="G31" s="17">
        <v>16.552345029912271</v>
      </c>
      <c r="H31" s="17">
        <v>13.6</v>
      </c>
    </row>
    <row r="32" spans="2:9" ht="15" thickBot="1" x14ac:dyDescent="0.35">
      <c r="B32" s="78"/>
      <c r="C32" s="1" t="s">
        <v>6</v>
      </c>
      <c r="D32" s="9">
        <v>49.666922396411792</v>
      </c>
      <c r="E32" s="8">
        <v>40.8527427924245</v>
      </c>
      <c r="F32" s="8">
        <v>84.398945460849831</v>
      </c>
      <c r="G32" s="17">
        <v>72.895816038228645</v>
      </c>
      <c r="H32" s="17">
        <v>196.6</v>
      </c>
    </row>
    <row r="33" spans="2:8" ht="15" thickBot="1" x14ac:dyDescent="0.35">
      <c r="B33" s="78"/>
      <c r="C33" s="1" t="s">
        <v>7</v>
      </c>
      <c r="D33" s="9">
        <v>6.821351002133329</v>
      </c>
      <c r="E33" s="8">
        <v>8.1303079426169429</v>
      </c>
      <c r="F33" s="8">
        <v>4.2668751429327596</v>
      </c>
      <c r="G33" s="17">
        <v>9.8618894173282783</v>
      </c>
      <c r="H33" s="17">
        <v>22.188863389221833</v>
      </c>
    </row>
    <row r="34" spans="2:8" ht="15" thickBot="1" x14ac:dyDescent="0.35">
      <c r="B34" s="78"/>
      <c r="C34" s="1" t="s">
        <v>8</v>
      </c>
      <c r="D34" s="9">
        <v>12.7</v>
      </c>
      <c r="E34" s="9">
        <v>11.8</v>
      </c>
      <c r="F34" s="9">
        <v>9</v>
      </c>
      <c r="G34" s="22">
        <v>16.7</v>
      </c>
      <c r="H34" s="22">
        <v>10</v>
      </c>
    </row>
    <row r="35" spans="2:8" ht="15" thickBot="1" x14ac:dyDescent="0.35">
      <c r="B35" s="26"/>
      <c r="C35" s="27" t="s">
        <v>31</v>
      </c>
      <c r="D35" s="28">
        <f>AVERAGE(D28:D34)</f>
        <v>20.029250542524014</v>
      </c>
      <c r="E35" s="29">
        <f t="shared" ref="E35" si="11">AVERAGE(E28:E34)</f>
        <v>17.300908950003986</v>
      </c>
      <c r="F35" s="29">
        <f t="shared" ref="F35" si="12">AVERAGE(F28:F34)</f>
        <v>32.056554217292124</v>
      </c>
      <c r="G35" s="30">
        <f t="shared" ref="G35" si="13">AVERAGE(G28:G34)</f>
        <v>28.925448584780995</v>
      </c>
      <c r="H35" s="30">
        <f t="shared" ref="H35" si="14">AVERAGE(H28:H34)</f>
        <v>47.330484869185518</v>
      </c>
    </row>
    <row r="36" spans="2:8" ht="15" thickBot="1" x14ac:dyDescent="0.35">
      <c r="B36" s="70" t="s">
        <v>13</v>
      </c>
      <c r="C36" s="1" t="s">
        <v>4</v>
      </c>
      <c r="D36" s="8">
        <v>3.1183333333333336</v>
      </c>
      <c r="E36" s="8">
        <v>3.5633333333333339</v>
      </c>
      <c r="F36" s="8">
        <v>4.8141666666666678</v>
      </c>
      <c r="G36" s="17">
        <v>4.6733333333333338</v>
      </c>
      <c r="H36" s="17">
        <v>5.82</v>
      </c>
    </row>
    <row r="37" spans="2:8" ht="15" thickBot="1" x14ac:dyDescent="0.35">
      <c r="B37" s="69"/>
      <c r="C37" s="1" t="s">
        <v>20</v>
      </c>
      <c r="D37" s="13"/>
      <c r="E37" s="13"/>
      <c r="F37" s="13"/>
      <c r="G37" s="21"/>
      <c r="H37" s="21"/>
    </row>
    <row r="38" spans="2:8" ht="15" thickBot="1" x14ac:dyDescent="0.35">
      <c r="B38" s="69"/>
      <c r="C38" s="1" t="s">
        <v>10</v>
      </c>
      <c r="D38" s="8">
        <v>9.7185000000000024</v>
      </c>
      <c r="E38" s="8">
        <v>9.4329999999999998</v>
      </c>
      <c r="F38" s="8">
        <v>8.3546666666666667</v>
      </c>
      <c r="G38" s="17">
        <v>8.9337833333333325</v>
      </c>
      <c r="H38" s="17">
        <v>10.485979166666667</v>
      </c>
    </row>
    <row r="39" spans="2:8" ht="15" thickBot="1" x14ac:dyDescent="0.35">
      <c r="B39" s="69"/>
      <c r="C39" s="1" t="s">
        <v>5</v>
      </c>
      <c r="D39" s="8">
        <v>7.67</v>
      </c>
      <c r="E39" s="8">
        <v>7.67</v>
      </c>
      <c r="F39" s="8">
        <v>8.2100000000000009</v>
      </c>
      <c r="G39" s="17">
        <v>8.39</v>
      </c>
      <c r="H39" s="17">
        <v>9.1</v>
      </c>
    </row>
    <row r="40" spans="2:8" ht="15" thickBot="1" x14ac:dyDescent="0.35">
      <c r="B40" s="69"/>
      <c r="C40" s="1" t="s">
        <v>6</v>
      </c>
      <c r="D40" s="8" t="s">
        <v>27</v>
      </c>
      <c r="E40" s="8" t="s">
        <v>27</v>
      </c>
      <c r="F40" s="8" t="s">
        <v>27</v>
      </c>
      <c r="G40" s="17" t="s">
        <v>27</v>
      </c>
      <c r="H40" s="17" t="s">
        <v>27</v>
      </c>
    </row>
    <row r="41" spans="2:8" ht="15" thickBot="1" x14ac:dyDescent="0.35">
      <c r="B41" s="69"/>
      <c r="C41" s="1" t="s">
        <v>7</v>
      </c>
      <c r="D41" s="8">
        <v>8.7092972222222222</v>
      </c>
      <c r="E41" s="8">
        <v>6.0776458333333343</v>
      </c>
      <c r="F41" s="8">
        <v>4.8663680555555553</v>
      </c>
      <c r="G41" s="17">
        <v>4.223780555555555</v>
      </c>
      <c r="H41" s="17">
        <v>6.0877583333333334</v>
      </c>
    </row>
    <row r="42" spans="2:8" ht="15" thickBot="1" x14ac:dyDescent="0.35">
      <c r="B42" s="69"/>
      <c r="C42" s="1" t="s">
        <v>8</v>
      </c>
      <c r="D42" s="8">
        <v>12.7</v>
      </c>
      <c r="E42" s="8">
        <v>12.2</v>
      </c>
      <c r="F42" s="8">
        <v>12.1</v>
      </c>
      <c r="G42" s="17">
        <v>9.9</v>
      </c>
      <c r="H42" s="17">
        <v>13.24</v>
      </c>
    </row>
    <row r="43" spans="2:8" ht="15" thickBot="1" x14ac:dyDescent="0.35">
      <c r="B43" s="25"/>
      <c r="C43" s="27" t="s">
        <v>31</v>
      </c>
      <c r="D43" s="28">
        <f>AVERAGE(D36:D42)</f>
        <v>8.3832261111111102</v>
      </c>
      <c r="E43" s="29">
        <f t="shared" ref="E43" si="15">AVERAGE(E36:E42)</f>
        <v>7.7887958333333334</v>
      </c>
      <c r="F43" s="29">
        <f t="shared" ref="F43" si="16">AVERAGE(F36:F42)</f>
        <v>7.6690402777777775</v>
      </c>
      <c r="G43" s="30">
        <f t="shared" ref="G43:H43" si="17">AVERAGE(G36:G42)</f>
        <v>7.2241794444444434</v>
      </c>
      <c r="H43" s="30">
        <f t="shared" si="17"/>
        <v>8.9467475000000007</v>
      </c>
    </row>
    <row r="44" spans="2:8" ht="15" thickBot="1" x14ac:dyDescent="0.35">
      <c r="B44" s="70" t="s">
        <v>14</v>
      </c>
      <c r="C44" s="1" t="s">
        <v>4</v>
      </c>
      <c r="D44" s="8">
        <v>5.28</v>
      </c>
      <c r="E44" s="8">
        <v>5.66</v>
      </c>
      <c r="F44" s="8">
        <v>6.08</v>
      </c>
      <c r="G44" s="17">
        <v>6.15</v>
      </c>
      <c r="H44" s="17">
        <v>6.29</v>
      </c>
    </row>
    <row r="45" spans="2:8" ht="15" thickBot="1" x14ac:dyDescent="0.35">
      <c r="B45" s="69"/>
      <c r="C45" s="1" t="s">
        <v>20</v>
      </c>
      <c r="D45" s="13"/>
      <c r="E45" s="13"/>
      <c r="F45" s="13"/>
      <c r="G45" s="21"/>
      <c r="H45" s="21"/>
    </row>
    <row r="46" spans="2:8" ht="15" thickBot="1" x14ac:dyDescent="0.35">
      <c r="B46" s="69"/>
      <c r="C46" s="1" t="s">
        <v>10</v>
      </c>
      <c r="D46" s="8">
        <v>7.4501316045199815</v>
      </c>
      <c r="E46" s="8">
        <v>6.9590880591760884</v>
      </c>
      <c r="F46" s="8">
        <v>6.4092815060249135</v>
      </c>
      <c r="G46" s="17">
        <v>6.4781144426722124</v>
      </c>
      <c r="H46" s="17">
        <v>7.2900580163212689</v>
      </c>
    </row>
    <row r="47" spans="2:8" ht="15" thickBot="1" x14ac:dyDescent="0.35">
      <c r="B47" s="69"/>
      <c r="C47" s="1" t="s">
        <v>5</v>
      </c>
      <c r="D47" s="8">
        <v>7.26</v>
      </c>
      <c r="E47" s="8">
        <v>7.69</v>
      </c>
      <c r="F47" s="8">
        <v>7.7174148438180303</v>
      </c>
      <c r="G47" s="17">
        <v>7.64</v>
      </c>
      <c r="H47" s="17">
        <v>8.66</v>
      </c>
    </row>
    <row r="48" spans="2:8" ht="15" thickBot="1" x14ac:dyDescent="0.35">
      <c r="B48" s="69"/>
      <c r="C48" s="1" t="s">
        <v>6</v>
      </c>
      <c r="D48" s="8">
        <v>0.06</v>
      </c>
      <c r="E48" s="8">
        <v>0.08</v>
      </c>
      <c r="F48" s="8">
        <v>0.04</v>
      </c>
      <c r="G48" s="17">
        <v>0.06</v>
      </c>
      <c r="H48" s="17">
        <v>0.06</v>
      </c>
    </row>
    <row r="49" spans="2:8" ht="15" thickBot="1" x14ac:dyDescent="0.35">
      <c r="B49" s="69"/>
      <c r="C49" s="1" t="s">
        <v>7</v>
      </c>
      <c r="D49" s="8">
        <v>7.581657437922785</v>
      </c>
      <c r="E49" s="8">
        <v>6.9759892894833202</v>
      </c>
      <c r="F49" s="8">
        <v>6.7472456285895239</v>
      </c>
      <c r="G49" s="17">
        <v>6.7991274619598387</v>
      </c>
      <c r="H49" s="17">
        <v>7.1939220437968112</v>
      </c>
    </row>
    <row r="50" spans="2:8" ht="15" thickBot="1" x14ac:dyDescent="0.35">
      <c r="B50" s="69"/>
      <c r="C50" s="1" t="s">
        <v>8</v>
      </c>
      <c r="D50" s="8">
        <v>3.3</v>
      </c>
      <c r="E50" s="8">
        <v>4.0999999999999996</v>
      </c>
      <c r="F50" s="8">
        <v>9.41</v>
      </c>
      <c r="G50" s="17">
        <v>8.24</v>
      </c>
      <c r="H50" s="17">
        <v>10.64</v>
      </c>
    </row>
    <row r="51" spans="2:8" ht="15" thickBot="1" x14ac:dyDescent="0.35">
      <c r="B51" s="25"/>
      <c r="C51" s="27" t="s">
        <v>31</v>
      </c>
      <c r="D51" s="28">
        <f>AVERAGE(D44:D50)</f>
        <v>5.1552981737404613</v>
      </c>
      <c r="E51" s="29">
        <f t="shared" ref="E51" si="18">AVERAGE(E44:E50)</f>
        <v>5.2441795581099013</v>
      </c>
      <c r="F51" s="29">
        <f t="shared" ref="F51" si="19">AVERAGE(F44:F50)</f>
        <v>6.0673236630720782</v>
      </c>
      <c r="G51" s="30">
        <f t="shared" ref="G51" si="20">AVERAGE(G44:G50)</f>
        <v>5.8945403174386755</v>
      </c>
      <c r="H51" s="30">
        <f t="shared" ref="H51" si="21">AVERAGE(H44:H50)</f>
        <v>6.6889966766863465</v>
      </c>
    </row>
    <row r="52" spans="2:8" ht="15" thickBot="1" x14ac:dyDescent="0.35">
      <c r="B52" s="70" t="s">
        <v>15</v>
      </c>
      <c r="C52" s="1" t="s">
        <v>4</v>
      </c>
      <c r="D52" s="8">
        <v>15.49</v>
      </c>
      <c r="E52" s="8">
        <v>15.176117005373174</v>
      </c>
      <c r="F52" s="8">
        <v>13.4</v>
      </c>
      <c r="G52" s="17">
        <v>12.95</v>
      </c>
      <c r="H52" s="17">
        <v>12.9</v>
      </c>
    </row>
    <row r="53" spans="2:8" ht="15" thickBot="1" x14ac:dyDescent="0.35">
      <c r="B53" s="69"/>
      <c r="C53" s="1" t="s">
        <v>20</v>
      </c>
      <c r="D53" s="8"/>
      <c r="E53" s="8"/>
      <c r="F53" s="8"/>
      <c r="G53" s="17"/>
      <c r="H53" s="17"/>
    </row>
    <row r="54" spans="2:8" ht="15" thickBot="1" x14ac:dyDescent="0.35">
      <c r="B54" s="69"/>
      <c r="C54" s="1" t="s">
        <v>10</v>
      </c>
      <c r="D54" s="8">
        <v>12.594242065445853</v>
      </c>
      <c r="E54" s="8">
        <v>12.224724325209879</v>
      </c>
      <c r="F54" s="8">
        <v>11.987212101489478</v>
      </c>
      <c r="G54" s="17">
        <v>12.156155717193961</v>
      </c>
      <c r="H54" s="17">
        <v>12.786401494756774</v>
      </c>
    </row>
    <row r="55" spans="2:8" ht="15" thickBot="1" x14ac:dyDescent="0.35">
      <c r="B55" s="69"/>
      <c r="C55" s="1" t="s">
        <v>5</v>
      </c>
      <c r="D55" s="8">
        <v>16.78</v>
      </c>
      <c r="E55" s="8">
        <v>16.29</v>
      </c>
      <c r="F55" s="8">
        <v>16.181666666666665</v>
      </c>
      <c r="G55" s="17">
        <v>16.43</v>
      </c>
      <c r="H55" s="17">
        <v>16.34</v>
      </c>
    </row>
    <row r="56" spans="2:8" ht="15" thickBot="1" x14ac:dyDescent="0.35">
      <c r="B56" s="69"/>
      <c r="C56" s="1" t="s">
        <v>6</v>
      </c>
      <c r="D56" s="8">
        <v>15.7</v>
      </c>
      <c r="E56" s="8">
        <v>16.3</v>
      </c>
      <c r="F56" s="8">
        <v>15.8</v>
      </c>
      <c r="G56" s="17">
        <v>16.399999999999999</v>
      </c>
      <c r="H56" s="17">
        <v>15.89</v>
      </c>
    </row>
    <row r="57" spans="2:8" ht="15" thickBot="1" x14ac:dyDescent="0.35">
      <c r="B57" s="69"/>
      <c r="C57" s="1" t="s">
        <v>7</v>
      </c>
      <c r="D57" s="8">
        <v>17.143894445780401</v>
      </c>
      <c r="E57" s="8">
        <v>16.802720256372073</v>
      </c>
      <c r="F57" s="8">
        <v>16.600349290397372</v>
      </c>
      <c r="G57" s="17">
        <v>16.409736344014448</v>
      </c>
      <c r="H57" s="17">
        <v>16.043996446789773</v>
      </c>
    </row>
    <row r="58" spans="2:8" ht="15" thickBot="1" x14ac:dyDescent="0.35">
      <c r="B58" s="69"/>
      <c r="C58" s="1" t="s">
        <v>8</v>
      </c>
      <c r="D58" s="8">
        <v>19.899999999999999</v>
      </c>
      <c r="E58" s="8">
        <v>19.3</v>
      </c>
      <c r="F58" s="8">
        <v>18.899999999999999</v>
      </c>
      <c r="G58" s="17">
        <v>18.600000000000001</v>
      </c>
      <c r="H58" s="17">
        <v>18.559999999999999</v>
      </c>
    </row>
    <row r="59" spans="2:8" ht="15" thickBot="1" x14ac:dyDescent="0.35">
      <c r="B59" s="26"/>
      <c r="C59" s="27" t="s">
        <v>31</v>
      </c>
      <c r="D59" s="28">
        <f>AVERAGE(D52:D58)</f>
        <v>16.268022751871044</v>
      </c>
      <c r="E59" s="29">
        <f t="shared" ref="E59" si="22">AVERAGE(E52:E58)</f>
        <v>16.015593597825852</v>
      </c>
      <c r="F59" s="29">
        <f t="shared" ref="F59" si="23">AVERAGE(F52:F58)</f>
        <v>15.478204676425586</v>
      </c>
      <c r="G59" s="30">
        <f t="shared" ref="G59" si="24">AVERAGE(G52:G58)</f>
        <v>15.490982010201401</v>
      </c>
      <c r="H59" s="30">
        <f t="shared" ref="H59" si="25">AVERAGE(H52:H58)</f>
        <v>15.420066323591092</v>
      </c>
    </row>
    <row r="60" spans="2:8" ht="15" thickBot="1" x14ac:dyDescent="0.35">
      <c r="B60" s="69" t="s">
        <v>16</v>
      </c>
      <c r="C60" s="1" t="s">
        <v>4</v>
      </c>
      <c r="D60" s="8">
        <v>3.519311445191442</v>
      </c>
      <c r="E60" s="8">
        <v>3.7618918858668637</v>
      </c>
      <c r="F60" s="8">
        <v>3.1799325789033661</v>
      </c>
      <c r="G60" s="17">
        <v>2.9532997780665093</v>
      </c>
      <c r="H60" s="17">
        <v>26.532141598119942</v>
      </c>
    </row>
    <row r="61" spans="2:8" ht="15" thickBot="1" x14ac:dyDescent="0.35">
      <c r="B61" s="69"/>
      <c r="C61" s="1" t="s">
        <v>20</v>
      </c>
      <c r="D61" s="13"/>
      <c r="E61" s="13"/>
      <c r="F61" s="13"/>
      <c r="G61" s="21"/>
      <c r="H61" s="21"/>
    </row>
    <row r="62" spans="2:8" ht="15" thickBot="1" x14ac:dyDescent="0.35">
      <c r="B62" s="69"/>
      <c r="C62" s="1" t="s">
        <v>10</v>
      </c>
      <c r="D62" s="8">
        <v>-1.1624492553100183</v>
      </c>
      <c r="E62" s="8">
        <v>2.3912957085953876</v>
      </c>
      <c r="F62" s="8">
        <v>5.0314667728269242</v>
      </c>
      <c r="G62" s="17">
        <v>3.7404824823601643</v>
      </c>
      <c r="H62" s="17">
        <v>11.821499437862109</v>
      </c>
    </row>
    <row r="63" spans="2:8" ht="15" thickBot="1" x14ac:dyDescent="0.35">
      <c r="B63" s="69"/>
      <c r="C63" s="1" t="s">
        <v>5</v>
      </c>
      <c r="D63" s="8">
        <v>4.0999999999999996</v>
      </c>
      <c r="E63" s="8">
        <v>4.7</v>
      </c>
      <c r="F63" s="8">
        <v>5.2</v>
      </c>
      <c r="G63" s="17">
        <v>4.0999999999999996</v>
      </c>
      <c r="H63" s="17">
        <v>6.54</v>
      </c>
    </row>
    <row r="64" spans="2:8" ht="15" thickBot="1" x14ac:dyDescent="0.35">
      <c r="B64" s="69"/>
      <c r="C64" s="1" t="s">
        <v>6</v>
      </c>
      <c r="D64" s="8">
        <v>11.4</v>
      </c>
      <c r="E64" s="8">
        <v>5.3</v>
      </c>
      <c r="F64" s="8">
        <v>88.9</v>
      </c>
      <c r="G64" s="17">
        <v>81.900000000000006</v>
      </c>
      <c r="H64" s="17">
        <v>41.47</v>
      </c>
    </row>
    <row r="65" spans="2:8" ht="15.6" thickBot="1" x14ac:dyDescent="0.35">
      <c r="B65" s="69"/>
      <c r="C65" s="1" t="s">
        <v>32</v>
      </c>
      <c r="D65" s="8">
        <v>1.6868648661189507</v>
      </c>
      <c r="E65" s="8">
        <v>0.3570193070488315</v>
      </c>
      <c r="F65" s="8">
        <v>0.35853465357989117</v>
      </c>
      <c r="G65" s="17">
        <v>-3.4517249024724034E-3</v>
      </c>
      <c r="H65" s="17">
        <v>0.52458786677453961</v>
      </c>
    </row>
    <row r="66" spans="2:8" ht="15" thickBot="1" x14ac:dyDescent="0.35">
      <c r="B66" s="69"/>
      <c r="C66" s="1" t="s">
        <v>8</v>
      </c>
      <c r="D66" s="8">
        <v>2.1</v>
      </c>
      <c r="E66" s="8">
        <v>-0.6</v>
      </c>
      <c r="F66" s="8">
        <v>-1.4</v>
      </c>
      <c r="G66" s="17">
        <v>-2.4</v>
      </c>
      <c r="H66" s="17">
        <v>4.66</v>
      </c>
    </row>
    <row r="67" spans="2:8" ht="15" thickBot="1" x14ac:dyDescent="0.35">
      <c r="B67" s="26"/>
      <c r="C67" s="27" t="s">
        <v>31</v>
      </c>
      <c r="D67" s="28">
        <f>AVERAGE(D60:D66)</f>
        <v>3.6072878426667301</v>
      </c>
      <c r="E67" s="29">
        <f t="shared" ref="E67" si="26">AVERAGE(E60:E66)</f>
        <v>2.6517011502518471</v>
      </c>
      <c r="F67" s="29">
        <f t="shared" ref="F67" si="27">AVERAGE(F60:F66)</f>
        <v>16.878322334218364</v>
      </c>
      <c r="G67" s="30">
        <f t="shared" ref="G67" si="28">AVERAGE(G60:G66)</f>
        <v>15.048388422587365</v>
      </c>
      <c r="H67" s="30">
        <f t="shared" ref="H67" si="29">AVERAGE(H60:H66)</f>
        <v>15.258038150459432</v>
      </c>
    </row>
    <row r="68" spans="2:8" x14ac:dyDescent="0.3">
      <c r="B68" s="5"/>
      <c r="C68" s="5"/>
      <c r="D68" s="5"/>
      <c r="E68" s="6"/>
    </row>
    <row r="69" spans="2:8" ht="15" x14ac:dyDescent="0.3">
      <c r="B69" s="7" t="s">
        <v>18</v>
      </c>
      <c r="C69" s="5"/>
      <c r="D69" s="5"/>
      <c r="E69" s="6"/>
    </row>
    <row r="70" spans="2:8" ht="15" x14ac:dyDescent="0.3">
      <c r="B70" s="74" t="s">
        <v>19</v>
      </c>
      <c r="C70" s="74"/>
      <c r="D70" s="5"/>
      <c r="E70" s="6"/>
    </row>
    <row r="71" spans="2:8" x14ac:dyDescent="0.3">
      <c r="B71" s="10" t="s">
        <v>23</v>
      </c>
      <c r="C71" s="5"/>
      <c r="D71" s="5"/>
      <c r="E71" s="5"/>
    </row>
    <row r="72" spans="2:8" x14ac:dyDescent="0.3">
      <c r="B72" s="5"/>
      <c r="C72" s="5"/>
      <c r="D72" s="5"/>
      <c r="E72" s="5"/>
    </row>
    <row r="73" spans="2:8" x14ac:dyDescent="0.3">
      <c r="B73" s="5"/>
      <c r="C73" s="5"/>
      <c r="D73" s="5"/>
      <c r="E73" s="5"/>
    </row>
    <row r="74" spans="2:8" x14ac:dyDescent="0.3">
      <c r="B74" s="5"/>
      <c r="C74" s="5"/>
      <c r="D74" s="5"/>
      <c r="E74" s="5"/>
    </row>
    <row r="75" spans="2:8" x14ac:dyDescent="0.3">
      <c r="B75" s="5"/>
      <c r="C75" s="5"/>
      <c r="D75" s="5"/>
      <c r="E75" s="5"/>
    </row>
    <row r="76" spans="2:8" x14ac:dyDescent="0.3">
      <c r="B76" s="5"/>
      <c r="C76" s="5"/>
      <c r="D76" s="5"/>
      <c r="E76" s="5"/>
    </row>
    <row r="77" spans="2:8" x14ac:dyDescent="0.3">
      <c r="B77" s="5"/>
      <c r="C77" s="5"/>
      <c r="D77" s="5"/>
      <c r="E77" s="5"/>
    </row>
  </sheetData>
  <mergeCells count="10">
    <mergeCell ref="B60:B66"/>
    <mergeCell ref="B70:C70"/>
    <mergeCell ref="B20:B26"/>
    <mergeCell ref="B28:B34"/>
    <mergeCell ref="B36:B42"/>
    <mergeCell ref="B4:B10"/>
    <mergeCell ref="B12:B18"/>
    <mergeCell ref="B2:H2"/>
    <mergeCell ref="B44:B50"/>
    <mergeCell ref="B52:B58"/>
  </mergeCells>
  <phoneticPr fontId="5" type="noConversion"/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C45"/>
  <sheetViews>
    <sheetView showGridLines="0" zoomScale="90" zoomScaleNormal="90" workbookViewId="0">
      <pane xSplit="3" ySplit="5" topLeftCell="V6" activePane="bottomRight" state="frozen"/>
      <selection pane="topRight" activeCell="D1" sqref="D1"/>
      <selection pane="bottomLeft" activeCell="A6" sqref="A6"/>
      <selection pane="bottomRight" activeCell="A18" sqref="A18:XFD18"/>
    </sheetView>
  </sheetViews>
  <sheetFormatPr defaultColWidth="9.21875" defaultRowHeight="13.8" x14ac:dyDescent="0.25"/>
  <cols>
    <col min="1" max="1" width="9.21875" style="34"/>
    <col min="2" max="2" width="31.77734375" style="34" customWidth="1"/>
    <col min="3" max="3" width="15.21875" style="34" customWidth="1"/>
    <col min="4" max="29" width="12.21875" style="34" customWidth="1"/>
    <col min="30" max="16384" width="9.21875" style="34"/>
  </cols>
  <sheetData>
    <row r="1" spans="2:29" ht="14.4" x14ac:dyDescent="0.3">
      <c r="B1" s="92" t="s">
        <v>57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</row>
    <row r="2" spans="2:29" ht="14.4" x14ac:dyDescent="0.3">
      <c r="B2" s="33"/>
      <c r="C2"/>
      <c r="D2" s="54" t="s">
        <v>56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>
        <v>100</v>
      </c>
      <c r="Q2"/>
      <c r="R2"/>
      <c r="S2"/>
      <c r="T2"/>
      <c r="U2"/>
      <c r="V2"/>
      <c r="W2"/>
      <c r="X2"/>
      <c r="Y2"/>
    </row>
    <row r="3" spans="2:29" ht="14.4" thickBot="1" x14ac:dyDescent="0.3"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</row>
    <row r="4" spans="2:29" ht="14.4" thickBot="1" x14ac:dyDescent="0.3">
      <c r="B4" s="94"/>
      <c r="C4" s="81" t="s">
        <v>0</v>
      </c>
      <c r="D4" s="79" t="s">
        <v>37</v>
      </c>
      <c r="E4" s="79" t="s">
        <v>38</v>
      </c>
      <c r="F4" s="79" t="s">
        <v>39</v>
      </c>
      <c r="G4" s="79" t="s">
        <v>40</v>
      </c>
      <c r="H4" s="79" t="s">
        <v>41</v>
      </c>
      <c r="I4" s="79" t="s">
        <v>42</v>
      </c>
      <c r="J4" s="79" t="s">
        <v>43</v>
      </c>
      <c r="K4" s="79" t="s">
        <v>44</v>
      </c>
      <c r="L4" s="79" t="s">
        <v>45</v>
      </c>
      <c r="M4" s="79" t="s">
        <v>46</v>
      </c>
      <c r="N4" s="79" t="s">
        <v>47</v>
      </c>
      <c r="O4" s="79" t="s">
        <v>48</v>
      </c>
      <c r="P4" s="79" t="s">
        <v>49</v>
      </c>
      <c r="Q4" s="79" t="s">
        <v>50</v>
      </c>
      <c r="R4" s="79" t="s">
        <v>51</v>
      </c>
      <c r="S4" s="79" t="s">
        <v>52</v>
      </c>
      <c r="T4" s="79" t="s">
        <v>53</v>
      </c>
      <c r="U4" s="79" t="s">
        <v>54</v>
      </c>
      <c r="V4" s="79" t="s">
        <v>1</v>
      </c>
      <c r="W4" s="79" t="s">
        <v>2</v>
      </c>
      <c r="X4" s="79" t="s">
        <v>21</v>
      </c>
      <c r="Y4" s="79" t="s">
        <v>22</v>
      </c>
      <c r="Z4" s="79" t="s">
        <v>29</v>
      </c>
      <c r="AA4" s="79" t="s">
        <v>33</v>
      </c>
      <c r="AB4" s="79" t="s">
        <v>34</v>
      </c>
      <c r="AC4" s="79" t="s">
        <v>55</v>
      </c>
    </row>
    <row r="5" spans="2:29" ht="15" customHeight="1" thickBot="1" x14ac:dyDescent="0.3">
      <c r="B5" s="95"/>
      <c r="C5" s="81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</row>
    <row r="6" spans="2:29" ht="14.4" thickBot="1" x14ac:dyDescent="0.3">
      <c r="B6" s="81" t="s">
        <v>58</v>
      </c>
      <c r="C6" s="38" t="s">
        <v>4</v>
      </c>
      <c r="D6" s="42">
        <v>24.3</v>
      </c>
      <c r="E6" s="42">
        <v>9.2752568882422786</v>
      </c>
      <c r="F6" s="42">
        <v>-1.3272863443455267</v>
      </c>
      <c r="G6" s="42">
        <v>10.712629137676581</v>
      </c>
      <c r="H6" s="42">
        <v>8.3334920302412652</v>
      </c>
      <c r="I6" s="42">
        <v>13.178757888445508</v>
      </c>
      <c r="J6" s="42">
        <v>2.6838966202783499</v>
      </c>
      <c r="K6" s="42">
        <v>8.3298039690222669</v>
      </c>
      <c r="L6" s="42">
        <v>24.457197112498047</v>
      </c>
      <c r="M6" s="42">
        <v>10.532338587535776</v>
      </c>
      <c r="N6" s="42">
        <v>6.5253798605401814</v>
      </c>
      <c r="O6" s="42">
        <v>9.5948624132937184</v>
      </c>
      <c r="P6" s="42">
        <v>18.162612369807526</v>
      </c>
      <c r="Q6" s="42">
        <v>7.9503359882119335</v>
      </c>
      <c r="R6" s="42">
        <v>4.4000000000000004</v>
      </c>
      <c r="S6" s="42">
        <v>5.54</v>
      </c>
      <c r="T6" s="43">
        <v>5.55</v>
      </c>
      <c r="U6" s="43">
        <v>16.100000000000001</v>
      </c>
      <c r="V6" s="43">
        <v>-3.0805656933997501</v>
      </c>
      <c r="W6" s="43">
        <v>-0.75604203124402325</v>
      </c>
      <c r="X6" s="43">
        <v>7.523682166434444</v>
      </c>
      <c r="Y6" s="43">
        <v>8.3690320971637515</v>
      </c>
      <c r="Z6" s="43">
        <v>18.85540900827316</v>
      </c>
      <c r="AA6" s="43">
        <v>27.078263077912325</v>
      </c>
      <c r="AB6" s="43">
        <v>20.198510630328336</v>
      </c>
      <c r="AC6" s="43">
        <v>34.008132371032296</v>
      </c>
    </row>
    <row r="7" spans="2:29" ht="14.4" thickBot="1" x14ac:dyDescent="0.3">
      <c r="B7" s="81"/>
      <c r="C7" s="38" t="s">
        <v>35</v>
      </c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3"/>
      <c r="U7" s="43"/>
      <c r="V7" s="43"/>
      <c r="W7" s="43"/>
      <c r="X7" s="43"/>
      <c r="Y7" s="43"/>
      <c r="Z7" s="43"/>
      <c r="AA7" s="43"/>
      <c r="AB7" s="43"/>
      <c r="AC7" s="43"/>
    </row>
    <row r="8" spans="2:29" ht="14.4" thickBot="1" x14ac:dyDescent="0.3">
      <c r="B8" s="81"/>
      <c r="C8" s="38" t="s">
        <v>10</v>
      </c>
      <c r="D8" s="42"/>
      <c r="E8" s="42"/>
      <c r="F8" s="42"/>
      <c r="G8" s="42"/>
      <c r="H8" s="42">
        <v>11.92</v>
      </c>
      <c r="I8" s="42">
        <v>4.28</v>
      </c>
      <c r="J8" s="42">
        <v>4.07</v>
      </c>
      <c r="K8" s="42">
        <v>17.87</v>
      </c>
      <c r="L8" s="42">
        <v>8.6</v>
      </c>
      <c r="M8" s="42">
        <v>3.49</v>
      </c>
      <c r="N8" s="42">
        <v>14.48</v>
      </c>
      <c r="O8" s="42">
        <v>10.050000000000001</v>
      </c>
      <c r="P8" s="42">
        <v>4.91</v>
      </c>
      <c r="Q8" s="42">
        <v>7.39</v>
      </c>
      <c r="R8" s="42">
        <v>7.03</v>
      </c>
      <c r="S8" s="42">
        <v>5.8</v>
      </c>
      <c r="T8" s="42">
        <v>9.2100000000000009</v>
      </c>
      <c r="U8" s="42">
        <v>4.28</v>
      </c>
      <c r="V8" s="42">
        <v>5.7</v>
      </c>
      <c r="W8" s="42">
        <v>4.59</v>
      </c>
      <c r="X8" s="42">
        <v>6.32</v>
      </c>
      <c r="Y8" s="42">
        <v>7.91</v>
      </c>
      <c r="Z8" s="42">
        <v>7.88</v>
      </c>
      <c r="AA8" s="42">
        <v>6.22</v>
      </c>
      <c r="AB8" s="42">
        <v>3.82</v>
      </c>
      <c r="AC8" s="42">
        <v>6.41</v>
      </c>
    </row>
    <row r="9" spans="2:29" ht="14.4" thickBot="1" x14ac:dyDescent="0.3">
      <c r="B9" s="81"/>
      <c r="C9" s="39" t="s">
        <v>5</v>
      </c>
      <c r="D9" s="42"/>
      <c r="E9" s="42"/>
      <c r="F9" s="42"/>
      <c r="G9" s="42"/>
      <c r="H9" s="42"/>
      <c r="I9" s="42">
        <v>7</v>
      </c>
      <c r="J9" s="42">
        <v>10.3</v>
      </c>
      <c r="K9" s="42">
        <v>8.9</v>
      </c>
      <c r="L9" s="42">
        <v>18.100000000000001</v>
      </c>
      <c r="M9" s="42">
        <v>4.8</v>
      </c>
      <c r="N9" s="42">
        <v>2.5</v>
      </c>
      <c r="O9" s="42">
        <v>7.5</v>
      </c>
      <c r="P9" s="42">
        <v>4.5999999999999996</v>
      </c>
      <c r="Q9" s="42">
        <v>3.4</v>
      </c>
      <c r="R9" s="42">
        <v>1.3</v>
      </c>
      <c r="S9" s="42">
        <v>4.0999999999999996</v>
      </c>
      <c r="T9" s="43">
        <v>6.8</v>
      </c>
      <c r="U9" s="43">
        <v>2.2999999999999998</v>
      </c>
      <c r="V9" s="43">
        <v>0.8</v>
      </c>
      <c r="W9" s="43">
        <v>6.3</v>
      </c>
      <c r="X9" s="43">
        <v>4.2</v>
      </c>
      <c r="Y9" s="43">
        <v>4.5999999999999996</v>
      </c>
      <c r="Z9" s="43">
        <v>18.2</v>
      </c>
      <c r="AA9" s="43">
        <v>7.9</v>
      </c>
      <c r="AB9" s="43">
        <v>5.7</v>
      </c>
      <c r="AC9" s="43">
        <v>9.1999999999999993</v>
      </c>
    </row>
    <row r="10" spans="2:29" ht="14.4" thickBot="1" x14ac:dyDescent="0.3">
      <c r="B10" s="81"/>
      <c r="C10" s="39" t="s">
        <v>36</v>
      </c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3"/>
      <c r="U10" s="43"/>
      <c r="V10" s="43"/>
      <c r="W10" s="43"/>
      <c r="X10" s="43"/>
      <c r="Y10" s="43"/>
      <c r="Z10" s="43"/>
      <c r="AA10" s="43"/>
      <c r="AB10" s="43"/>
      <c r="AC10" s="43"/>
    </row>
    <row r="11" spans="2:29" ht="14.4" thickBot="1" x14ac:dyDescent="0.3">
      <c r="B11" s="81"/>
      <c r="C11" s="39" t="s">
        <v>6</v>
      </c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>
        <v>25.32</v>
      </c>
      <c r="Q11" s="42">
        <v>-5.27</v>
      </c>
      <c r="R11" s="42">
        <v>15.06</v>
      </c>
      <c r="S11" s="42">
        <v>153.37</v>
      </c>
      <c r="T11" s="43">
        <v>410.62</v>
      </c>
      <c r="U11" s="43">
        <v>130.91</v>
      </c>
      <c r="V11" s="43">
        <v>64.31</v>
      </c>
      <c r="W11" s="43">
        <v>72.239999999999995</v>
      </c>
      <c r="X11" s="43">
        <v>25.38</v>
      </c>
      <c r="Y11" s="43">
        <v>-2.17</v>
      </c>
      <c r="Z11" s="43">
        <v>-0.57999999999999996</v>
      </c>
      <c r="AA11" s="43">
        <v>17.59</v>
      </c>
      <c r="AB11" s="43"/>
      <c r="AC11" s="43"/>
    </row>
    <row r="12" spans="2:29" ht="14.4" thickBot="1" x14ac:dyDescent="0.3">
      <c r="B12" s="81"/>
      <c r="C12" s="39" t="s">
        <v>7</v>
      </c>
      <c r="D12" s="42">
        <v>5.0999999999999934</v>
      </c>
      <c r="E12" s="42">
        <v>4.4999999999999929</v>
      </c>
      <c r="F12" s="42">
        <v>5.8369222405651566</v>
      </c>
      <c r="G12" s="42">
        <v>3.3535354084458735</v>
      </c>
      <c r="H12" s="42">
        <v>6.7150137294543333</v>
      </c>
      <c r="I12" s="42">
        <v>8.9490307342285469</v>
      </c>
      <c r="J12" s="42">
        <v>5.8272908677114321</v>
      </c>
      <c r="K12" s="42">
        <v>9.2805755395683587</v>
      </c>
      <c r="L12" s="42">
        <v>10.664911125740616</v>
      </c>
      <c r="M12" s="42">
        <v>7.1980963712076074</v>
      </c>
      <c r="N12" s="42">
        <v>10.821904094503964</v>
      </c>
      <c r="O12" s="42">
        <v>17.488708220415528</v>
      </c>
      <c r="P12" s="42">
        <v>7.6426264800861121</v>
      </c>
      <c r="Q12" s="42">
        <v>6.4125464937905496</v>
      </c>
      <c r="R12" s="42">
        <v>6.1389634784596803</v>
      </c>
      <c r="S12" s="42">
        <v>5.5</v>
      </c>
      <c r="T12" s="43">
        <v>5.4406427597690099</v>
      </c>
      <c r="U12" s="43">
        <v>3.4026167236678395</v>
      </c>
      <c r="V12" s="43">
        <v>3.7389684400802814</v>
      </c>
      <c r="W12" s="43">
        <v>3.2</v>
      </c>
      <c r="X12" s="43">
        <v>3.5918581308617803</v>
      </c>
      <c r="Y12" s="43">
        <v>4.43850436213891</v>
      </c>
      <c r="Z12" s="43">
        <v>3.5651235186964003</v>
      </c>
      <c r="AA12" s="43">
        <v>3.0919731384574156</v>
      </c>
      <c r="AB12" s="43">
        <v>3.334954328748263</v>
      </c>
      <c r="AC12" s="43">
        <v>4.0408222020069662</v>
      </c>
    </row>
    <row r="13" spans="2:29" ht="14.4" thickBot="1" x14ac:dyDescent="0.3">
      <c r="B13" s="81"/>
      <c r="C13" s="39" t="s">
        <v>8</v>
      </c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3"/>
      <c r="U13" s="43"/>
      <c r="V13" s="43"/>
      <c r="W13" s="43"/>
      <c r="X13" s="43"/>
      <c r="Y13" s="43"/>
      <c r="Z13" s="43"/>
      <c r="AA13" s="43"/>
      <c r="AB13" s="43"/>
      <c r="AC13" s="43"/>
    </row>
    <row r="14" spans="2:29" ht="14.4" thickBot="1" x14ac:dyDescent="0.3">
      <c r="B14" s="82"/>
      <c r="C14" s="39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</row>
    <row r="15" spans="2:29" ht="14.55" customHeight="1" thickBot="1" x14ac:dyDescent="0.3">
      <c r="B15" s="86" t="s">
        <v>60</v>
      </c>
      <c r="C15" s="40" t="s">
        <v>4</v>
      </c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>
        <v>4.0158118439025623</v>
      </c>
      <c r="Q15" s="42">
        <v>4.2372209875759665</v>
      </c>
      <c r="R15" s="42">
        <v>4.138707291582751</v>
      </c>
      <c r="S15" s="42">
        <v>1.9799391422977353</v>
      </c>
      <c r="T15" s="43">
        <v>1.542634441777341</v>
      </c>
      <c r="U15" s="43">
        <v>1.6537003046034795</v>
      </c>
      <c r="V15" s="43">
        <v>0.95213112527609489</v>
      </c>
      <c r="W15" s="43">
        <v>1.5036776007634254</v>
      </c>
      <c r="X15" s="43">
        <v>1.1099995267781257</v>
      </c>
      <c r="Y15" s="43">
        <v>3.1672635177526995</v>
      </c>
      <c r="Z15" s="43">
        <v>1.7942313602161408</v>
      </c>
      <c r="AA15" s="43">
        <v>0.80234526872117273</v>
      </c>
      <c r="AB15" s="43">
        <v>1.6450977105707953</v>
      </c>
      <c r="AC15" s="43">
        <v>2.0438541684263956</v>
      </c>
    </row>
    <row r="16" spans="2:29" ht="15" customHeight="1" thickBot="1" x14ac:dyDescent="0.3">
      <c r="B16" s="87"/>
      <c r="C16" s="40" t="s">
        <v>35</v>
      </c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6"/>
      <c r="U16" s="46"/>
      <c r="V16" s="46"/>
      <c r="W16" s="46"/>
      <c r="X16" s="46"/>
      <c r="Y16" s="46"/>
      <c r="Z16" s="46"/>
      <c r="AA16" s="46"/>
      <c r="AB16" s="46"/>
      <c r="AC16" s="46"/>
    </row>
    <row r="17" spans="2:29" ht="15" customHeight="1" thickBot="1" x14ac:dyDescent="0.3">
      <c r="B17" s="87"/>
      <c r="C17" s="40" t="s">
        <v>10</v>
      </c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>
        <v>4.5112086707485997</v>
      </c>
      <c r="S17" s="42">
        <v>5.3735364116788302</v>
      </c>
      <c r="T17" s="42">
        <v>5.7390197601279</v>
      </c>
      <c r="U17" s="42">
        <v>5.9684597918865903</v>
      </c>
      <c r="V17" s="42">
        <v>6.0311209387815099</v>
      </c>
      <c r="W17" s="42">
        <v>5.9437170327529296</v>
      </c>
      <c r="X17" s="42">
        <v>6.1400913264754804</v>
      </c>
      <c r="Y17" s="42">
        <v>4.9103297814399003</v>
      </c>
      <c r="Z17" s="42">
        <v>4.3203288008755596</v>
      </c>
      <c r="AA17" s="42">
        <v>3.8109820442809901</v>
      </c>
      <c r="AB17" s="42">
        <v>5.2215156292660332</v>
      </c>
      <c r="AC17" s="42">
        <v>5.7681311123322816</v>
      </c>
    </row>
    <row r="18" spans="2:29" ht="15" customHeight="1" thickBot="1" x14ac:dyDescent="0.3">
      <c r="B18" s="87"/>
      <c r="C18" s="40" t="s">
        <v>5</v>
      </c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>
        <v>5.3059980249603536</v>
      </c>
      <c r="O18" s="42">
        <v>4.1253236455940989</v>
      </c>
      <c r="P18" s="42">
        <v>4.840573008920301</v>
      </c>
      <c r="Q18" s="42">
        <v>3.8824417318074831</v>
      </c>
      <c r="R18" s="42">
        <v>3.7316935146217789</v>
      </c>
      <c r="S18" s="42">
        <v>3.8144598747797698</v>
      </c>
      <c r="T18" s="43">
        <v>4.0887352557928835</v>
      </c>
      <c r="U18" s="43">
        <v>4.4351517951641251</v>
      </c>
      <c r="V18" s="43">
        <v>4.3536678810366531</v>
      </c>
      <c r="W18" s="43">
        <v>5.7003540259020635</v>
      </c>
      <c r="X18" s="43">
        <v>4.4349147241253002</v>
      </c>
      <c r="Y18" s="43">
        <v>4.4705129971118716</v>
      </c>
      <c r="Z18" s="43">
        <v>3.9866065722873953</v>
      </c>
      <c r="AA18" s="43">
        <v>4.2665336996986785</v>
      </c>
      <c r="AB18" s="43">
        <v>4.4887852663293817</v>
      </c>
      <c r="AC18" s="43">
        <v>4.1223540867584374</v>
      </c>
    </row>
    <row r="19" spans="2:29" ht="15" customHeight="1" thickBot="1" x14ac:dyDescent="0.3">
      <c r="B19" s="87"/>
      <c r="C19" s="40" t="s">
        <v>36</v>
      </c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3"/>
      <c r="U19" s="43"/>
      <c r="V19" s="43"/>
      <c r="W19" s="43"/>
      <c r="X19" s="43"/>
      <c r="Y19" s="43"/>
      <c r="Z19" s="43"/>
      <c r="AA19" s="43"/>
      <c r="AB19" s="43"/>
      <c r="AC19" s="43"/>
    </row>
    <row r="20" spans="2:29" ht="15" customHeight="1" thickBot="1" x14ac:dyDescent="0.3">
      <c r="B20" s="87"/>
      <c r="C20" s="40" t="s">
        <v>6</v>
      </c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>
        <v>2.4</v>
      </c>
      <c r="P20" s="42">
        <v>2.7</v>
      </c>
      <c r="Q20" s="42">
        <v>3</v>
      </c>
      <c r="R20" s="42">
        <v>0.5</v>
      </c>
      <c r="S20" s="42">
        <v>1.3</v>
      </c>
      <c r="T20" s="43">
        <v>2.5</v>
      </c>
      <c r="U20" s="43">
        <v>6</v>
      </c>
      <c r="V20" s="43">
        <v>2.2400000000000002</v>
      </c>
      <c r="W20" s="43">
        <v>5.58</v>
      </c>
      <c r="X20" s="43">
        <v>4.3899999999999997</v>
      </c>
      <c r="Y20" s="43">
        <v>5.92</v>
      </c>
      <c r="Z20" s="43">
        <v>2.08</v>
      </c>
      <c r="AA20" s="43">
        <v>2.02</v>
      </c>
      <c r="AB20" s="43">
        <v>1.38</v>
      </c>
      <c r="AC20" s="43">
        <v>0.6</v>
      </c>
    </row>
    <row r="21" spans="2:29" ht="15" customHeight="1" thickBot="1" x14ac:dyDescent="0.3">
      <c r="B21" s="87"/>
      <c r="C21" s="40" t="s">
        <v>7</v>
      </c>
      <c r="D21" s="42"/>
      <c r="E21" s="42"/>
      <c r="F21" s="42">
        <v>7.5493356342347493</v>
      </c>
      <c r="G21" s="42">
        <v>6.8726750099972627</v>
      </c>
      <c r="H21" s="42">
        <v>5.7077952867839672</v>
      </c>
      <c r="I21" s="42">
        <v>4.2312572780170008</v>
      </c>
      <c r="J21" s="42">
        <v>3.8318708953500291</v>
      </c>
      <c r="K21" s="42">
        <v>4.5869855032261109</v>
      </c>
      <c r="L21" s="42">
        <v>4.8204815077740149</v>
      </c>
      <c r="M21" s="42">
        <v>4.7604306353598203</v>
      </c>
      <c r="N21" s="42">
        <v>3.6916108640631133</v>
      </c>
      <c r="O21" s="42">
        <v>4.0262741914889686</v>
      </c>
      <c r="P21" s="42">
        <v>4.1607852500854712</v>
      </c>
      <c r="Q21" s="42">
        <v>4.5826297612190103</v>
      </c>
      <c r="R21" s="42">
        <v>5.0292368321669247</v>
      </c>
      <c r="S21" s="42">
        <v>5.3536155161421393</v>
      </c>
      <c r="T21" s="42">
        <v>5.748000534554575</v>
      </c>
      <c r="U21" s="42">
        <v>6.0973438191666736</v>
      </c>
      <c r="V21" s="42">
        <v>4.326090067090302</v>
      </c>
      <c r="W21" s="42">
        <v>5.9621386310235733</v>
      </c>
      <c r="X21" s="42">
        <v>6.2156567437400794</v>
      </c>
      <c r="Y21" s="42">
        <v>4.6139621037977214</v>
      </c>
      <c r="Z21" s="42">
        <v>4.9171345890051752</v>
      </c>
      <c r="AA21" s="42">
        <v>4.4268906761983597</v>
      </c>
      <c r="AB21" s="42">
        <v>4.8413050441056082</v>
      </c>
      <c r="AC21" s="42">
        <v>4.3655198743777506</v>
      </c>
    </row>
    <row r="22" spans="2:29" ht="15" customHeight="1" thickBot="1" x14ac:dyDescent="0.3">
      <c r="B22" s="87"/>
      <c r="C22" s="40" t="s">
        <v>8</v>
      </c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>
        <v>3.8462091502419717</v>
      </c>
      <c r="AA22" s="42">
        <v>2.9915773575026394</v>
      </c>
      <c r="AB22" s="42">
        <v>3.0069739422409425</v>
      </c>
      <c r="AC22" s="42">
        <v>3.6771878487771641</v>
      </c>
    </row>
    <row r="23" spans="2:29" ht="15" customHeight="1" thickBot="1" x14ac:dyDescent="0.3">
      <c r="B23" s="88"/>
      <c r="C23" s="40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</row>
    <row r="24" spans="2:29" ht="14.55" customHeight="1" thickBot="1" x14ac:dyDescent="0.3">
      <c r="B24" s="83" t="s">
        <v>59</v>
      </c>
      <c r="C24" s="39" t="s">
        <v>4</v>
      </c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>
        <v>-8.8096772596722008</v>
      </c>
      <c r="P24" s="48">
        <v>-9.8770374291492011</v>
      </c>
      <c r="Q24" s="48">
        <v>-1.9552427218449502</v>
      </c>
      <c r="R24" s="48">
        <v>-4.30992261303909</v>
      </c>
      <c r="S24" s="48">
        <v>-6.7194952068471325</v>
      </c>
      <c r="T24" s="49">
        <v>-6.0393447501312254</v>
      </c>
      <c r="U24" s="49">
        <v>-6.2849154967505605</v>
      </c>
      <c r="V24" s="49">
        <v>-4.8666689026364516</v>
      </c>
      <c r="W24" s="49">
        <v>-6</v>
      </c>
      <c r="X24" s="49">
        <v>-3.7</v>
      </c>
      <c r="Y24" s="49">
        <v>-2.2999999999999998</v>
      </c>
      <c r="Z24" s="49">
        <v>-4.0999999999999996</v>
      </c>
      <c r="AA24" s="49">
        <v>-4.5</v>
      </c>
      <c r="AB24" s="49">
        <v>-5.2</v>
      </c>
      <c r="AC24" s="49">
        <v>-1.7</v>
      </c>
    </row>
    <row r="25" spans="2:29" ht="15" customHeight="1" thickBot="1" x14ac:dyDescent="0.3">
      <c r="B25" s="84"/>
      <c r="C25" s="39" t="s">
        <v>35</v>
      </c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1"/>
      <c r="U25" s="51"/>
      <c r="V25" s="51"/>
      <c r="W25" s="51"/>
      <c r="X25" s="51"/>
      <c r="Y25" s="51"/>
      <c r="Z25" s="51"/>
      <c r="AA25" s="51"/>
      <c r="AB25" s="51"/>
      <c r="AC25" s="51"/>
    </row>
    <row r="26" spans="2:29" ht="15" customHeight="1" thickBot="1" x14ac:dyDescent="0.3">
      <c r="B26" s="84"/>
      <c r="C26" s="39" t="s">
        <v>10</v>
      </c>
      <c r="D26" s="48">
        <v>-1.3861823982939292</v>
      </c>
      <c r="E26" s="48">
        <v>-3.012484044461786</v>
      </c>
      <c r="F26" s="48">
        <v>-3.4547912155414382</v>
      </c>
      <c r="G26" s="48">
        <v>-0.86695064336538008</v>
      </c>
      <c r="H26" s="48">
        <v>0.10892015242543521</v>
      </c>
      <c r="I26" s="48">
        <v>-2.5757068503619456</v>
      </c>
      <c r="J26" s="48">
        <v>-2.3621726582294085</v>
      </c>
      <c r="K26" s="48">
        <v>-3.7004959337576921</v>
      </c>
      <c r="L26" s="48">
        <v>-4.4389110020976581</v>
      </c>
      <c r="M26" s="48">
        <v>-5.6869462535893724</v>
      </c>
      <c r="N26" s="48">
        <v>-3.275239532692356</v>
      </c>
      <c r="O26" s="48">
        <v>-4.1074072063181051</v>
      </c>
      <c r="P26" s="48">
        <v>-5.2243553908370783</v>
      </c>
      <c r="Q26" s="48">
        <v>-5.7336912394801143</v>
      </c>
      <c r="R26" s="48">
        <v>-7.943600526850247</v>
      </c>
      <c r="S26" s="48">
        <v>-7.5787941263479626</v>
      </c>
      <c r="T26" s="48">
        <v>-9.55852830681801</v>
      </c>
      <c r="U26" s="48">
        <v>-7.0329344892466814</v>
      </c>
      <c r="V26" s="48">
        <v>-7.6497186733692102</v>
      </c>
      <c r="W26" s="48">
        <v>-7.8161056132656022</v>
      </c>
      <c r="X26" s="48">
        <v>-8.6889294636802763</v>
      </c>
      <c r="Y26" s="48">
        <v>-6.4890077195686233</v>
      </c>
      <c r="Z26" s="48">
        <v>-5.9124072769407219</v>
      </c>
      <c r="AA26" s="48">
        <v>-5.3523437037790362</v>
      </c>
      <c r="AB26" s="48">
        <v>-6.1761366486043192</v>
      </c>
      <c r="AC26" s="48">
        <v>-7.2560365679833261</v>
      </c>
    </row>
    <row r="27" spans="2:29" ht="15" customHeight="1" thickBot="1" x14ac:dyDescent="0.3">
      <c r="B27" s="84"/>
      <c r="C27" s="39" t="s">
        <v>5</v>
      </c>
      <c r="D27" s="48"/>
      <c r="E27" s="48"/>
      <c r="F27" s="48"/>
      <c r="G27" s="48"/>
      <c r="H27" s="48"/>
      <c r="I27" s="48"/>
      <c r="J27" s="48">
        <v>-1.3080379430853744</v>
      </c>
      <c r="K27" s="48">
        <v>-0.14356029532403144</v>
      </c>
      <c r="L27" s="48">
        <v>-1.9758327890267799</v>
      </c>
      <c r="M27" s="48">
        <v>-9.9009900990101055E-2</v>
      </c>
      <c r="N27" s="48">
        <v>-3.2009488712281633</v>
      </c>
      <c r="O27" s="48">
        <v>-1.1205122341641893</v>
      </c>
      <c r="P27" s="48">
        <v>-4.8344704167887569</v>
      </c>
      <c r="Q27" s="48">
        <v>-3.8489880611550937</v>
      </c>
      <c r="R27" s="48">
        <v>-5.2313290590885453</v>
      </c>
      <c r="S27" s="48">
        <v>-3.0440689950767048</v>
      </c>
      <c r="T27" s="48">
        <v>-4.5198286582838199</v>
      </c>
      <c r="U27" s="48">
        <v>-4.59944059254578</v>
      </c>
      <c r="V27" s="48">
        <v>-6.2233746489498083</v>
      </c>
      <c r="W27" s="48">
        <v>-8.8684167509038723</v>
      </c>
      <c r="X27" s="48">
        <v>-8.5</v>
      </c>
      <c r="Y27" s="48">
        <v>-9</v>
      </c>
      <c r="Z27" s="48">
        <v>-7.1</v>
      </c>
      <c r="AA27" s="48">
        <v>-6.6</v>
      </c>
      <c r="AB27" s="48">
        <v>-5.4</v>
      </c>
      <c r="AC27" s="48">
        <v>-5.7</v>
      </c>
    </row>
    <row r="28" spans="2:29" ht="15" customHeight="1" thickBot="1" x14ac:dyDescent="0.3">
      <c r="B28" s="84"/>
      <c r="C28" s="39" t="s">
        <v>36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1"/>
      <c r="U28" s="51"/>
      <c r="V28" s="51"/>
      <c r="W28" s="51"/>
      <c r="X28" s="51"/>
      <c r="Y28" s="51"/>
      <c r="Z28" s="51"/>
      <c r="AA28" s="51"/>
      <c r="AB28" s="51"/>
      <c r="AC28" s="51"/>
    </row>
    <row r="29" spans="2:29" ht="15" customHeight="1" thickBot="1" x14ac:dyDescent="0.3">
      <c r="B29" s="84"/>
      <c r="C29" s="39" t="s">
        <v>6</v>
      </c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>
        <v>-2.86</v>
      </c>
      <c r="Q29" s="42">
        <v>-8.49</v>
      </c>
      <c r="R29" s="42">
        <v>-15.708</v>
      </c>
      <c r="S29" s="42">
        <v>-17.797999999999998</v>
      </c>
      <c r="T29" s="43">
        <v>9.4610000000000003</v>
      </c>
      <c r="U29" s="43">
        <v>-0.17599999999999999</v>
      </c>
      <c r="V29" s="43">
        <v>1.419</v>
      </c>
      <c r="W29" s="43">
        <v>-4.4980000000000002</v>
      </c>
      <c r="X29" s="43">
        <v>-8.9939999999999998</v>
      </c>
      <c r="Y29" s="43">
        <v>3.4260000000000002</v>
      </c>
      <c r="Z29" s="43">
        <v>8.8970000000000002</v>
      </c>
      <c r="AA29" s="43">
        <v>5.202</v>
      </c>
      <c r="AB29" s="43">
        <v>3.589</v>
      </c>
      <c r="AC29" s="43">
        <v>2.5569999999999999</v>
      </c>
    </row>
    <row r="30" spans="2:29" ht="15" customHeight="1" thickBot="1" x14ac:dyDescent="0.3">
      <c r="B30" s="84"/>
      <c r="C30" s="39" t="s">
        <v>7</v>
      </c>
      <c r="D30" s="42">
        <v>1.1735617025619691</v>
      </c>
      <c r="E30" s="42">
        <v>-0.28362810472646899</v>
      </c>
      <c r="F30" s="42">
        <v>-0.75327325711190629</v>
      </c>
      <c r="G30" s="42">
        <v>-2.25690370755947</v>
      </c>
      <c r="H30" s="42">
        <v>-2.7960180847973195</v>
      </c>
      <c r="I30" s="42">
        <v>-4.0091724733779692</v>
      </c>
      <c r="J30" s="42">
        <v>-3.6140818009898621</v>
      </c>
      <c r="K30" s="42">
        <v>-0.94649913891670467</v>
      </c>
      <c r="L30" s="42">
        <v>-3.276025880894414</v>
      </c>
      <c r="M30" s="42">
        <v>-4.0830169026717451</v>
      </c>
      <c r="N30" s="42">
        <v>-4.4424076601923534</v>
      </c>
      <c r="O30" s="42">
        <v>-2.6089963492541619</v>
      </c>
      <c r="P30" s="42">
        <v>-4.1913614087225044</v>
      </c>
      <c r="Q30" s="42">
        <v>-2.3091611950614181</v>
      </c>
      <c r="R30" s="42">
        <v>-3.7360413027039714</v>
      </c>
      <c r="S30" s="42">
        <v>-3.5067805748775287</v>
      </c>
      <c r="T30" s="42">
        <v>-1.4550573416963202</v>
      </c>
      <c r="U30" s="42">
        <v>-1.8879027156974844</v>
      </c>
      <c r="V30" s="42">
        <v>-3.1618475618910007</v>
      </c>
      <c r="W30" s="52">
        <v>-1.888391998252372</v>
      </c>
      <c r="X30" s="42">
        <v>-3.8550624790622838</v>
      </c>
      <c r="Y30" s="42">
        <v>-3.4916496093622942</v>
      </c>
      <c r="Z30" s="42">
        <v>-4.1260959080935962</v>
      </c>
      <c r="AA30" s="42">
        <v>-3.0649582821547385</v>
      </c>
      <c r="AB30" s="42">
        <v>-3.0533028352513201</v>
      </c>
      <c r="AC30" s="42">
        <v>-2.5324702348127164</v>
      </c>
    </row>
    <row r="31" spans="2:29" ht="15" customHeight="1" thickBot="1" x14ac:dyDescent="0.3">
      <c r="B31" s="84"/>
      <c r="C31" s="39" t="s">
        <v>8</v>
      </c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52"/>
      <c r="X31" s="42"/>
      <c r="Y31" s="42"/>
      <c r="Z31" s="42"/>
      <c r="AA31" s="42"/>
      <c r="AB31" s="42"/>
      <c r="AC31" s="42"/>
    </row>
    <row r="32" spans="2:29" ht="15" customHeight="1" thickBot="1" x14ac:dyDescent="0.3">
      <c r="B32" s="85"/>
      <c r="C32" s="39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</row>
    <row r="33" spans="2:29" ht="14.4" thickBot="1" x14ac:dyDescent="0.3">
      <c r="B33" s="89" t="s">
        <v>61</v>
      </c>
      <c r="C33" s="40" t="s">
        <v>4</v>
      </c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>
        <v>35.416031085661466</v>
      </c>
      <c r="O33" s="42">
        <v>34.172816562437028</v>
      </c>
      <c r="P33" s="42">
        <v>31.833954552937595</v>
      </c>
      <c r="Q33" s="42">
        <v>33.06585996033958</v>
      </c>
      <c r="R33" s="42">
        <v>39.879093074979039</v>
      </c>
      <c r="S33" s="42">
        <v>42.500783994801608</v>
      </c>
      <c r="T33" s="43">
        <v>42.547937213405248</v>
      </c>
      <c r="U33" s="43">
        <v>44.590335346173973</v>
      </c>
      <c r="V33" s="43">
        <v>45.16013525932577</v>
      </c>
      <c r="W33" s="43">
        <v>52.244656435647386</v>
      </c>
      <c r="X33" s="43">
        <v>57.09803595262575</v>
      </c>
      <c r="Y33" s="43">
        <v>56.97431143357641</v>
      </c>
      <c r="Z33" s="43">
        <v>57.132399665943844</v>
      </c>
      <c r="AA33" s="43">
        <v>56.489288011990581</v>
      </c>
      <c r="AB33" s="43">
        <v>51.6425677758102</v>
      </c>
      <c r="AC33" s="43">
        <v>42.505624189722383</v>
      </c>
    </row>
    <row r="34" spans="2:29" ht="14.4" thickBot="1" x14ac:dyDescent="0.3">
      <c r="B34" s="90"/>
      <c r="C34" s="40" t="s">
        <v>35</v>
      </c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6"/>
      <c r="U34" s="46"/>
      <c r="V34" s="46"/>
      <c r="W34" s="46"/>
      <c r="X34" s="46"/>
      <c r="Y34" s="46"/>
      <c r="Z34" s="46"/>
      <c r="AA34" s="46"/>
      <c r="AB34" s="46"/>
      <c r="AC34" s="46"/>
    </row>
    <row r="35" spans="2:29" ht="14.4" thickBot="1" x14ac:dyDescent="0.3">
      <c r="B35" s="90"/>
      <c r="C35" s="40" t="s">
        <v>10</v>
      </c>
      <c r="D35" s="42">
        <v>62.181997400391388</v>
      </c>
      <c r="E35" s="42">
        <v>59.389954334318276</v>
      </c>
      <c r="F35" s="42">
        <v>59.277034192475377</v>
      </c>
      <c r="G35" s="42">
        <v>61.533877960704473</v>
      </c>
      <c r="H35" s="42">
        <v>58.806844862547159</v>
      </c>
      <c r="I35" s="42">
        <v>52.940808985303953</v>
      </c>
      <c r="J35" s="42">
        <v>48.631381793641552</v>
      </c>
      <c r="K35" s="42">
        <v>43.700534657277757</v>
      </c>
      <c r="L35" s="42">
        <v>41.306854894384053</v>
      </c>
      <c r="M35" s="42">
        <v>32.161324100741169</v>
      </c>
      <c r="N35" s="42">
        <v>34.070198436192712</v>
      </c>
      <c r="O35" s="42">
        <v>35.726265425173345</v>
      </c>
      <c r="P35" s="42">
        <v>34.041022270767002</v>
      </c>
      <c r="Q35" s="42">
        <v>34.843558157460613</v>
      </c>
      <c r="R35" s="42">
        <v>40.354744092734066</v>
      </c>
      <c r="S35" s="42">
        <v>41.306891881939777</v>
      </c>
      <c r="T35" s="42">
        <v>47.559100107663035</v>
      </c>
      <c r="U35" s="42">
        <v>51.935138239450339</v>
      </c>
      <c r="V35" s="42">
        <v>54.037129507627533</v>
      </c>
      <c r="W35" s="42">
        <v>56.737422350613208</v>
      </c>
      <c r="X35" s="42">
        <v>62.474937447912147</v>
      </c>
      <c r="Y35" s="42">
        <v>63.991116311715444</v>
      </c>
      <c r="Z35" s="42">
        <v>64.400000000000006</v>
      </c>
      <c r="AA35" s="42">
        <v>64.400000000000006</v>
      </c>
      <c r="AB35" s="42">
        <v>63.7</v>
      </c>
      <c r="AC35" s="42">
        <v>65.599999999999994</v>
      </c>
    </row>
    <row r="36" spans="2:29" ht="14.4" thickBot="1" x14ac:dyDescent="0.3">
      <c r="B36" s="90"/>
      <c r="C36" s="40" t="s">
        <v>5</v>
      </c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>
        <v>18.2</v>
      </c>
      <c r="S36" s="42">
        <v>23</v>
      </c>
      <c r="T36" s="42">
        <v>27.856752323674815</v>
      </c>
      <c r="U36" s="42">
        <v>28.986118017240116</v>
      </c>
      <c r="V36" s="42">
        <v>30.068854654941308</v>
      </c>
      <c r="W36" s="42">
        <v>32.728889584740848</v>
      </c>
      <c r="X36" s="42">
        <v>32.386136096721778</v>
      </c>
      <c r="Y36" s="42">
        <v>51.229052480911797</v>
      </c>
      <c r="Z36" s="42">
        <v>55.22905248091179</v>
      </c>
      <c r="AA36" s="42">
        <v>56.737881054658871</v>
      </c>
      <c r="AB36" s="42">
        <v>54.144799908700762</v>
      </c>
      <c r="AC36" s="42">
        <v>53.7</v>
      </c>
    </row>
    <row r="37" spans="2:29" ht="14.4" thickBot="1" x14ac:dyDescent="0.3">
      <c r="B37" s="90"/>
      <c r="C37" s="40" t="s">
        <v>36</v>
      </c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3"/>
      <c r="U37" s="43"/>
      <c r="V37" s="43"/>
      <c r="W37" s="43"/>
      <c r="X37" s="43"/>
      <c r="Y37" s="43"/>
      <c r="Z37" s="43"/>
      <c r="AA37" s="43"/>
      <c r="AB37" s="43"/>
      <c r="AC37" s="43"/>
    </row>
    <row r="38" spans="2:29" ht="14.4" thickBot="1" x14ac:dyDescent="0.3">
      <c r="B38" s="90"/>
      <c r="C38" s="40" t="s">
        <v>6</v>
      </c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>
        <v>17.587825731975595</v>
      </c>
      <c r="Q38" s="42">
        <v>38.141820212171972</v>
      </c>
      <c r="R38" s="42">
        <v>57.243835616438353</v>
      </c>
      <c r="S38" s="42">
        <v>150.47930072269219</v>
      </c>
      <c r="T38" s="43">
        <v>162.95637831151009</v>
      </c>
      <c r="U38" s="43">
        <v>80.268958220107805</v>
      </c>
      <c r="V38" s="43">
        <v>43.100167739028116</v>
      </c>
      <c r="W38" s="43">
        <v>48.982275115809692</v>
      </c>
      <c r="X38" s="43">
        <v>51.086581542315692</v>
      </c>
      <c r="Y38" s="43">
        <v>39.11238088601641</v>
      </c>
      <c r="Z38" s="43">
        <v>49.687185720044923</v>
      </c>
      <c r="AA38" s="43">
        <v>54.323098562727054</v>
      </c>
      <c r="AB38" s="43">
        <v>63.173433205770756</v>
      </c>
      <c r="AC38" s="43">
        <v>35.183846266442188</v>
      </c>
    </row>
    <row r="39" spans="2:29" ht="14.4" thickBot="1" x14ac:dyDescent="0.3">
      <c r="B39" s="90"/>
      <c r="C39" s="40" t="s">
        <v>7</v>
      </c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3"/>
      <c r="U39" s="43"/>
      <c r="V39" s="43"/>
      <c r="W39" s="43"/>
      <c r="X39" s="43"/>
      <c r="Y39" s="43"/>
      <c r="Z39" s="43"/>
      <c r="AA39" s="43"/>
      <c r="AB39" s="43"/>
      <c r="AC39" s="43"/>
    </row>
    <row r="40" spans="2:29" ht="14.4" thickBot="1" x14ac:dyDescent="0.3">
      <c r="B40" s="90"/>
      <c r="C40" s="40" t="s">
        <v>8</v>
      </c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3"/>
      <c r="W40" s="43"/>
      <c r="X40" s="42"/>
      <c r="Y40" s="42"/>
      <c r="Z40" s="42"/>
      <c r="AA40" s="42"/>
      <c r="AB40" s="42"/>
      <c r="AC40" s="42"/>
    </row>
    <row r="41" spans="2:29" x14ac:dyDescent="0.25">
      <c r="B41" s="91"/>
      <c r="C41" s="41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</row>
    <row r="42" spans="2:29" ht="22.5" customHeight="1" x14ac:dyDescent="0.25">
      <c r="B42" s="36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X42" s="37"/>
      <c r="Y42" s="37"/>
      <c r="Z42" s="37"/>
      <c r="AA42" s="37"/>
      <c r="AB42" s="37"/>
      <c r="AC42" s="37"/>
    </row>
    <row r="43" spans="2:29" ht="16.8" x14ac:dyDescent="0.25">
      <c r="B43" s="36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X43" s="37"/>
      <c r="Y43" s="37"/>
      <c r="Z43" s="37"/>
      <c r="AA43" s="37"/>
      <c r="AB43" s="37"/>
      <c r="AC43" s="37"/>
    </row>
    <row r="44" spans="2:29" ht="16.8" x14ac:dyDescent="0.25">
      <c r="B44" s="36"/>
    </row>
    <row r="45" spans="2:29" ht="16.8" x14ac:dyDescent="0.25">
      <c r="B45" s="36"/>
    </row>
  </sheetData>
  <mergeCells count="33">
    <mergeCell ref="AC4:AC5"/>
    <mergeCell ref="Y4:Y5"/>
    <mergeCell ref="B1:Y1"/>
    <mergeCell ref="B4:B5"/>
    <mergeCell ref="X4:X5"/>
    <mergeCell ref="W4:W5"/>
    <mergeCell ref="D4:D5"/>
    <mergeCell ref="E4:E5"/>
    <mergeCell ref="Z4:Z5"/>
    <mergeCell ref="AA4:AA5"/>
    <mergeCell ref="AB4:AB5"/>
    <mergeCell ref="P4:P5"/>
    <mergeCell ref="Q4:Q5"/>
    <mergeCell ref="R4:R5"/>
    <mergeCell ref="B33:B41"/>
    <mergeCell ref="C4:C5"/>
    <mergeCell ref="T4:T5"/>
    <mergeCell ref="V4:V5"/>
    <mergeCell ref="I4:I5"/>
    <mergeCell ref="U4:U5"/>
    <mergeCell ref="J4:J5"/>
    <mergeCell ref="B6:B14"/>
    <mergeCell ref="B24:B32"/>
    <mergeCell ref="B15:B23"/>
    <mergeCell ref="L4:L5"/>
    <mergeCell ref="M4:M5"/>
    <mergeCell ref="N4:N5"/>
    <mergeCell ref="O4:O5"/>
    <mergeCell ref="F4:F5"/>
    <mergeCell ref="G4:G5"/>
    <mergeCell ref="H4:H5"/>
    <mergeCell ref="S4:S5"/>
    <mergeCell ref="K4:K5"/>
  </mergeCells>
  <phoneticPr fontId="5" type="noConversion"/>
  <pageMargins left="0.7" right="0.7" top="0.75" bottom="0.75" header="0.3" footer="0.3"/>
  <pageSetup orientation="portrait" horizontalDpi="90" verticalDpi="9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E45"/>
  <sheetViews>
    <sheetView tabSelected="1" workbookViewId="0">
      <pane xSplit="3" ySplit="5" topLeftCell="D20" activePane="bottomRight" state="frozen"/>
      <selection pane="topRight" activeCell="D1" sqref="D1"/>
      <selection pane="bottomLeft" activeCell="A6" sqref="A6"/>
      <selection pane="bottomRight" activeCell="J39" sqref="J39:AC39"/>
    </sheetView>
  </sheetViews>
  <sheetFormatPr defaultColWidth="9.21875" defaultRowHeight="13.8" x14ac:dyDescent="0.25"/>
  <cols>
    <col min="1" max="1" width="9.21875" style="34"/>
    <col min="2" max="2" width="31.77734375" style="34" customWidth="1"/>
    <col min="3" max="3" width="15.21875" style="34" customWidth="1"/>
    <col min="4" max="29" width="12.21875" style="34" customWidth="1"/>
    <col min="30" max="16384" width="9.21875" style="34"/>
  </cols>
  <sheetData>
    <row r="1" spans="2:31" ht="14.4" x14ac:dyDescent="0.3">
      <c r="B1" s="92" t="s">
        <v>57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</row>
    <row r="2" spans="2:31" ht="14.4" x14ac:dyDescent="0.3">
      <c r="B2" s="33"/>
      <c r="C2"/>
      <c r="D2" s="54" t="s">
        <v>56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>
        <v>100</v>
      </c>
      <c r="Q2"/>
      <c r="R2"/>
      <c r="S2"/>
      <c r="T2"/>
      <c r="U2"/>
      <c r="V2"/>
      <c r="W2"/>
      <c r="X2"/>
      <c r="Y2"/>
    </row>
    <row r="3" spans="2:31" ht="14.4" thickBot="1" x14ac:dyDescent="0.3"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</row>
    <row r="4" spans="2:31" ht="14.4" thickBot="1" x14ac:dyDescent="0.3">
      <c r="B4" s="94"/>
      <c r="C4" s="81" t="s">
        <v>0</v>
      </c>
      <c r="D4" s="79" t="s">
        <v>37</v>
      </c>
      <c r="E4" s="79" t="s">
        <v>38</v>
      </c>
      <c r="F4" s="79" t="s">
        <v>39</v>
      </c>
      <c r="G4" s="79" t="s">
        <v>40</v>
      </c>
      <c r="H4" s="79" t="s">
        <v>41</v>
      </c>
      <c r="I4" s="79" t="s">
        <v>42</v>
      </c>
      <c r="J4" s="79" t="s">
        <v>43</v>
      </c>
      <c r="K4" s="79" t="s">
        <v>44</v>
      </c>
      <c r="L4" s="79" t="s">
        <v>45</v>
      </c>
      <c r="M4" s="79" t="s">
        <v>46</v>
      </c>
      <c r="N4" s="79" t="s">
        <v>47</v>
      </c>
      <c r="O4" s="79" t="s">
        <v>48</v>
      </c>
      <c r="P4" s="79" t="s">
        <v>49</v>
      </c>
      <c r="Q4" s="79" t="s">
        <v>50</v>
      </c>
      <c r="R4" s="79" t="s">
        <v>51</v>
      </c>
      <c r="S4" s="79" t="s">
        <v>52</v>
      </c>
      <c r="T4" s="79" t="s">
        <v>53</v>
      </c>
      <c r="U4" s="79" t="s">
        <v>54</v>
      </c>
      <c r="V4" s="79" t="s">
        <v>1</v>
      </c>
      <c r="W4" s="79" t="s">
        <v>2</v>
      </c>
      <c r="X4" s="79" t="s">
        <v>21</v>
      </c>
      <c r="Y4" s="79" t="s">
        <v>22</v>
      </c>
      <c r="Z4" s="79" t="s">
        <v>29</v>
      </c>
      <c r="AA4" s="79" t="s">
        <v>33</v>
      </c>
      <c r="AB4" s="79" t="s">
        <v>34</v>
      </c>
      <c r="AC4" s="79" t="s">
        <v>55</v>
      </c>
    </row>
    <row r="5" spans="2:31" ht="15" customHeight="1" thickBot="1" x14ac:dyDescent="0.3">
      <c r="B5" s="95"/>
      <c r="C5" s="81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</row>
    <row r="6" spans="2:31" ht="14.4" thickBot="1" x14ac:dyDescent="0.3">
      <c r="B6" s="81" t="s">
        <v>58</v>
      </c>
      <c r="C6" s="38" t="s">
        <v>4</v>
      </c>
      <c r="D6" s="42">
        <v>24.3</v>
      </c>
      <c r="E6" s="42">
        <v>9.2752568882422786</v>
      </c>
      <c r="F6" s="42">
        <v>-1.3272863443455267</v>
      </c>
      <c r="G6" s="42">
        <v>10.712629137676581</v>
      </c>
      <c r="H6" s="42">
        <v>8.3334920302412652</v>
      </c>
      <c r="I6" s="42">
        <v>13.178757888445508</v>
      </c>
      <c r="J6" s="42">
        <v>2.6838966202783499</v>
      </c>
      <c r="K6" s="42">
        <v>8.3298039690222669</v>
      </c>
      <c r="L6" s="42">
        <v>24.457197112498047</v>
      </c>
      <c r="M6" s="42">
        <v>10.532338587535776</v>
      </c>
      <c r="N6" s="42">
        <v>6.5253798605401814</v>
      </c>
      <c r="O6" s="42">
        <v>9.5948624132937184</v>
      </c>
      <c r="P6" s="42">
        <v>18.162612369807526</v>
      </c>
      <c r="Q6" s="42">
        <v>7.9503359882119335</v>
      </c>
      <c r="R6" s="42">
        <v>4.4000000000000004</v>
      </c>
      <c r="S6" s="42">
        <v>5.54</v>
      </c>
      <c r="T6" s="43">
        <v>5.55</v>
      </c>
      <c r="U6" s="43">
        <v>16.100000000000001</v>
      </c>
      <c r="V6" s="43">
        <v>-3.0805656933997501</v>
      </c>
      <c r="W6" s="43">
        <v>-0.75604203124402325</v>
      </c>
      <c r="X6" s="43">
        <v>7.523682166434444</v>
      </c>
      <c r="Y6" s="43">
        <v>8.3690320971637515</v>
      </c>
      <c r="Z6" s="43">
        <v>18.85540900827316</v>
      </c>
      <c r="AA6" s="43">
        <v>27.078263077912325</v>
      </c>
      <c r="AB6" s="43">
        <v>20.198510630328336</v>
      </c>
      <c r="AC6" s="43">
        <v>34.008132371032296</v>
      </c>
    </row>
    <row r="7" spans="2:31" ht="14.4" thickBot="1" x14ac:dyDescent="0.3">
      <c r="B7" s="81"/>
      <c r="C7" s="38" t="s">
        <v>35</v>
      </c>
      <c r="D7" s="56">
        <v>550</v>
      </c>
      <c r="E7" s="56">
        <v>357.28</v>
      </c>
      <c r="F7" s="56">
        <v>25.315999999999999</v>
      </c>
      <c r="G7" s="56">
        <v>12.817</v>
      </c>
      <c r="H7" s="56">
        <v>4.0009999999999994</v>
      </c>
      <c r="I7" s="56">
        <v>21.545000000000002</v>
      </c>
      <c r="J7" s="56">
        <v>12.845000000000001</v>
      </c>
      <c r="K7" s="56">
        <v>16.672000000000001</v>
      </c>
      <c r="L7" s="56">
        <v>17.965999999999998</v>
      </c>
      <c r="M7" s="56">
        <v>46.100999999999999</v>
      </c>
      <c r="N7" s="56">
        <v>23.463999999999999</v>
      </c>
      <c r="O7" s="56">
        <v>14.95</v>
      </c>
      <c r="P7" s="56">
        <v>0.89999999999999991</v>
      </c>
      <c r="Q7" s="56">
        <v>0.89999999999999991</v>
      </c>
      <c r="R7" s="56">
        <v>1.2</v>
      </c>
      <c r="S7" s="56">
        <v>0.70000000000000007</v>
      </c>
      <c r="T7" s="57">
        <v>3.2</v>
      </c>
      <c r="U7" s="57">
        <v>35.699999999999996</v>
      </c>
      <c r="V7" s="57">
        <v>29.299999999999997</v>
      </c>
      <c r="W7" s="57">
        <v>4.7</v>
      </c>
      <c r="X7" s="57">
        <v>11.4</v>
      </c>
      <c r="Y7" s="57">
        <v>9</v>
      </c>
      <c r="Z7" s="57">
        <v>9.3000000000000007</v>
      </c>
      <c r="AA7" s="57">
        <v>19.900000000000002</v>
      </c>
      <c r="AB7" s="57">
        <v>17.7</v>
      </c>
      <c r="AC7" s="57">
        <v>7.3999999999999995</v>
      </c>
    </row>
    <row r="8" spans="2:31" ht="14.4" thickBot="1" x14ac:dyDescent="0.3">
      <c r="B8" s="81"/>
      <c r="C8" s="38" t="s">
        <v>10</v>
      </c>
      <c r="D8" s="58">
        <v>9.9800251535097892</v>
      </c>
      <c r="E8" s="58">
        <v>5.7385981434146682</v>
      </c>
      <c r="F8" s="58">
        <v>1.9613082173916221</v>
      </c>
      <c r="G8" s="58">
        <v>9.8156906297965385</v>
      </c>
      <c r="H8" s="42">
        <v>11.92</v>
      </c>
      <c r="I8" s="42">
        <v>4.28</v>
      </c>
      <c r="J8" s="42">
        <v>4.07</v>
      </c>
      <c r="K8" s="42">
        <v>17.87</v>
      </c>
      <c r="L8" s="42">
        <v>8.6</v>
      </c>
      <c r="M8" s="42">
        <v>3.49</v>
      </c>
      <c r="N8" s="42">
        <v>14.48</v>
      </c>
      <c r="O8" s="42">
        <v>10.050000000000001</v>
      </c>
      <c r="P8" s="42">
        <v>4.91</v>
      </c>
      <c r="Q8" s="42">
        <v>7.39</v>
      </c>
      <c r="R8" s="42">
        <v>7.03</v>
      </c>
      <c r="S8" s="42">
        <v>5.8</v>
      </c>
      <c r="T8" s="42">
        <v>9.2100000000000009</v>
      </c>
      <c r="U8" s="42">
        <v>4.28</v>
      </c>
      <c r="V8" s="42">
        <v>5.7</v>
      </c>
      <c r="W8" s="42">
        <v>4.59</v>
      </c>
      <c r="X8" s="42">
        <v>6.32</v>
      </c>
      <c r="Y8" s="42">
        <v>7.91</v>
      </c>
      <c r="Z8" s="42">
        <v>7.88</v>
      </c>
      <c r="AA8" s="42">
        <v>6.22</v>
      </c>
      <c r="AB8" s="42">
        <v>3.82</v>
      </c>
      <c r="AC8" s="42">
        <v>6.41</v>
      </c>
    </row>
    <row r="9" spans="2:31" ht="14.4" thickBot="1" x14ac:dyDescent="0.3">
      <c r="B9" s="81"/>
      <c r="C9" s="38" t="s">
        <v>5</v>
      </c>
      <c r="D9" s="58">
        <v>3.8995298028471241</v>
      </c>
      <c r="E9" s="58">
        <v>3.342855067494094</v>
      </c>
      <c r="F9" s="58">
        <v>1.9925854245399319</v>
      </c>
      <c r="G9" s="58">
        <v>7.4497001400736584</v>
      </c>
      <c r="H9" s="58">
        <v>12.25071028943913</v>
      </c>
      <c r="I9" s="42">
        <v>7</v>
      </c>
      <c r="J9" s="42">
        <v>10.3</v>
      </c>
      <c r="K9" s="42">
        <v>8.9</v>
      </c>
      <c r="L9" s="42">
        <v>18.100000000000001</v>
      </c>
      <c r="M9" s="42">
        <v>4.8</v>
      </c>
      <c r="N9" s="42">
        <v>2.5</v>
      </c>
      <c r="O9" s="42">
        <v>7.5</v>
      </c>
      <c r="P9" s="42">
        <v>4.5999999999999996</v>
      </c>
      <c r="Q9" s="42">
        <v>3.4</v>
      </c>
      <c r="R9" s="42">
        <v>1.3</v>
      </c>
      <c r="S9" s="42">
        <v>4.0999999999999996</v>
      </c>
      <c r="T9" s="43">
        <v>6.8</v>
      </c>
      <c r="U9" s="43">
        <v>2.2999999999999998</v>
      </c>
      <c r="V9" s="43">
        <v>0.8</v>
      </c>
      <c r="W9" s="43">
        <v>6.3</v>
      </c>
      <c r="X9" s="43">
        <v>4.2</v>
      </c>
      <c r="Y9" s="43">
        <v>4.5999999999999996</v>
      </c>
      <c r="Z9" s="43">
        <v>18.2</v>
      </c>
      <c r="AA9" s="43">
        <v>7.9</v>
      </c>
      <c r="AB9" s="43">
        <v>5.7</v>
      </c>
      <c r="AC9" s="43">
        <v>9.1999999999999993</v>
      </c>
    </row>
    <row r="10" spans="2:31" ht="14.4" thickBot="1" x14ac:dyDescent="0.3">
      <c r="B10" s="81"/>
      <c r="C10" s="38" t="s">
        <v>36</v>
      </c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56">
        <v>2.8000000000000003</v>
      </c>
      <c r="R10" s="56">
        <v>1.3</v>
      </c>
      <c r="S10" s="56">
        <v>0.3</v>
      </c>
      <c r="T10" s="57">
        <v>1.2</v>
      </c>
      <c r="U10" s="57">
        <v>6.1</v>
      </c>
      <c r="V10" s="57">
        <v>3.2</v>
      </c>
      <c r="W10" s="57">
        <v>3.1</v>
      </c>
      <c r="X10" s="57">
        <v>4.8</v>
      </c>
      <c r="Y10" s="57">
        <v>5.7</v>
      </c>
      <c r="Z10" s="57">
        <v>6.1</v>
      </c>
      <c r="AA10" s="57">
        <v>6.6000000000000005</v>
      </c>
      <c r="AB10" s="57">
        <v>5.6000000000000005</v>
      </c>
      <c r="AC10" s="57">
        <v>5.0999999999999996</v>
      </c>
      <c r="AE10" s="34">
        <v>100</v>
      </c>
    </row>
    <row r="11" spans="2:31" ht="14.4" thickBot="1" x14ac:dyDescent="0.3">
      <c r="B11" s="81"/>
      <c r="C11" s="38" t="s">
        <v>6</v>
      </c>
      <c r="D11" s="42"/>
      <c r="E11" s="42"/>
      <c r="F11" s="42"/>
      <c r="G11" s="42"/>
      <c r="H11" s="42"/>
      <c r="I11" s="42"/>
      <c r="J11" s="42"/>
      <c r="K11" s="42"/>
      <c r="L11" s="42"/>
      <c r="M11" s="58">
        <v>5.0062736153404677</v>
      </c>
      <c r="N11" s="58">
        <v>1.1696218030110821</v>
      </c>
      <c r="O11" s="58">
        <v>46.8521757193597</v>
      </c>
      <c r="P11" s="42">
        <v>25.32</v>
      </c>
      <c r="Q11" s="42">
        <v>-5.27</v>
      </c>
      <c r="R11" s="42">
        <v>15.06</v>
      </c>
      <c r="S11" s="42">
        <v>153.37</v>
      </c>
      <c r="T11" s="43">
        <v>410.62</v>
      </c>
      <c r="U11" s="43">
        <v>130.91</v>
      </c>
      <c r="V11" s="43">
        <v>64.31</v>
      </c>
      <c r="W11" s="43">
        <v>72.239999999999995</v>
      </c>
      <c r="X11" s="43">
        <v>25.38</v>
      </c>
      <c r="Y11" s="43">
        <v>-2.17</v>
      </c>
      <c r="Z11" s="43">
        <v>-0.57999999999999996</v>
      </c>
      <c r="AA11" s="43">
        <v>17.59</v>
      </c>
      <c r="AB11" s="43"/>
      <c r="AC11" s="43"/>
    </row>
    <row r="12" spans="2:31" ht="14.4" thickBot="1" x14ac:dyDescent="0.3">
      <c r="B12" s="81"/>
      <c r="C12" s="38" t="s">
        <v>7</v>
      </c>
      <c r="D12" s="42">
        <v>5.0999999999999934</v>
      </c>
      <c r="E12" s="42">
        <v>4.4999999999999929</v>
      </c>
      <c r="F12" s="42">
        <v>5.8369222405651566</v>
      </c>
      <c r="G12" s="42">
        <v>3.3535354084458735</v>
      </c>
      <c r="H12" s="42">
        <v>6.7150137294543333</v>
      </c>
      <c r="I12" s="42">
        <v>8.9490307342285469</v>
      </c>
      <c r="J12" s="42">
        <v>5.8272908677114321</v>
      </c>
      <c r="K12" s="42">
        <v>9.2805755395683587</v>
      </c>
      <c r="L12" s="42">
        <v>10.664911125740616</v>
      </c>
      <c r="M12" s="42">
        <v>7.1980963712076074</v>
      </c>
      <c r="N12" s="42">
        <v>10.821904094503964</v>
      </c>
      <c r="O12" s="42">
        <v>17.488708220415528</v>
      </c>
      <c r="P12" s="42">
        <v>7.6426264800861121</v>
      </c>
      <c r="Q12" s="42">
        <v>6.4125464937905496</v>
      </c>
      <c r="R12" s="42">
        <v>6.1389634784596803</v>
      </c>
      <c r="S12" s="42">
        <v>5.5</v>
      </c>
      <c r="T12" s="43">
        <v>5.4406427597690099</v>
      </c>
      <c r="U12" s="43">
        <v>3.4026167236678395</v>
      </c>
      <c r="V12" s="43">
        <v>3.7389684400802814</v>
      </c>
      <c r="W12" s="43">
        <v>3.2</v>
      </c>
      <c r="X12" s="43">
        <v>3.5918581308617803</v>
      </c>
      <c r="Y12" s="43">
        <v>4.43850436213891</v>
      </c>
      <c r="Z12" s="43">
        <v>3.5651235186964003</v>
      </c>
      <c r="AA12" s="43">
        <v>3.0919731384574156</v>
      </c>
      <c r="AB12" s="43">
        <v>3.334954328748263</v>
      </c>
      <c r="AC12" s="43">
        <v>4.0408222020069662</v>
      </c>
    </row>
    <row r="13" spans="2:31" ht="14.4" thickBot="1" x14ac:dyDescent="0.3">
      <c r="B13" s="81"/>
      <c r="C13" s="38" t="s">
        <v>8</v>
      </c>
      <c r="D13" s="56">
        <v>3.3920215851299802</v>
      </c>
      <c r="E13" s="56">
        <v>1.865125240847725</v>
      </c>
      <c r="F13" s="56">
        <v>-0.28750851176519637</v>
      </c>
      <c r="G13" s="56">
        <v>8.6804765156688362</v>
      </c>
      <c r="H13" s="56">
        <v>3.7212874397822842</v>
      </c>
      <c r="I13" s="56">
        <v>8.4487264229953212</v>
      </c>
      <c r="J13" s="56">
        <v>7.3106761356186372</v>
      </c>
      <c r="K13" s="56">
        <v>6.138510832850498</v>
      </c>
      <c r="L13" s="56">
        <v>12.050855548288551</v>
      </c>
      <c r="M13" s="56">
        <v>13.017256188918539</v>
      </c>
      <c r="N13" s="56">
        <v>3.976552884781682</v>
      </c>
      <c r="O13" s="56">
        <v>16.564349617451519</v>
      </c>
      <c r="P13" s="56">
        <v>12.679037722465891</v>
      </c>
      <c r="Q13" s="56">
        <v>4.9052087569455676</v>
      </c>
      <c r="R13" s="56">
        <v>3.075706689586414</v>
      </c>
      <c r="S13" s="56">
        <v>5.589686062517254</v>
      </c>
      <c r="T13" s="57">
        <v>5.7063750461621199</v>
      </c>
      <c r="U13" s="57">
        <v>5.2097170591420916</v>
      </c>
      <c r="V13" s="57">
        <v>2.6160119095227441</v>
      </c>
      <c r="W13" s="57">
        <v>2.8675880344689988</v>
      </c>
      <c r="X13" s="57">
        <v>3.313322895445018</v>
      </c>
      <c r="Y13" s="57">
        <v>2.204572047574139</v>
      </c>
      <c r="Z13" s="57">
        <v>7.1957888597581032</v>
      </c>
      <c r="AA13" s="57">
        <v>5.3509480428039531</v>
      </c>
      <c r="AB13" s="57">
        <v>3.323380336918186</v>
      </c>
      <c r="AC13" s="57">
        <v>3.5808278443806651</v>
      </c>
    </row>
    <row r="14" spans="2:31" ht="14.4" thickBot="1" x14ac:dyDescent="0.3">
      <c r="B14" s="82"/>
      <c r="C14" s="39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</row>
    <row r="15" spans="2:31" ht="14.55" customHeight="1" thickBot="1" x14ac:dyDescent="0.3">
      <c r="B15" s="86" t="s">
        <v>60</v>
      </c>
      <c r="C15" s="55" t="s">
        <v>4</v>
      </c>
      <c r="D15" s="56">
        <v>2.7389719231943985</v>
      </c>
      <c r="E15" s="56">
        <v>1.3302515753756454</v>
      </c>
      <c r="F15" s="56">
        <v>4.4337848919472993</v>
      </c>
      <c r="G15" s="56">
        <v>4.1706106631213133</v>
      </c>
      <c r="H15" s="56">
        <v>3.144422693260819</v>
      </c>
      <c r="I15" s="56">
        <v>3.5091522652556395</v>
      </c>
      <c r="J15" s="56">
        <v>3.41826519192416</v>
      </c>
      <c r="K15" s="56">
        <v>4.7150166604238972</v>
      </c>
      <c r="L15" s="56">
        <v>5.2482812574075135</v>
      </c>
      <c r="M15" s="56">
        <v>7.2062322125277003</v>
      </c>
      <c r="N15" s="56">
        <v>6.4405537763731884</v>
      </c>
      <c r="O15" s="56">
        <v>4.4862599971829136</v>
      </c>
      <c r="P15" s="42">
        <v>4.0158118439025623</v>
      </c>
      <c r="Q15" s="42">
        <v>4.2372209875759665</v>
      </c>
      <c r="R15" s="42">
        <v>4.138707291582751</v>
      </c>
      <c r="S15" s="42">
        <v>1.9799391422977353</v>
      </c>
      <c r="T15" s="43">
        <v>1.542634441777341</v>
      </c>
      <c r="U15" s="43">
        <v>1.6537003046034795</v>
      </c>
      <c r="V15" s="43">
        <v>0.95213112527609489</v>
      </c>
      <c r="W15" s="43">
        <v>1.5036776007634254</v>
      </c>
      <c r="X15" s="43">
        <v>1.1099995267781257</v>
      </c>
      <c r="Y15" s="43">
        <v>3.1672635177526995</v>
      </c>
      <c r="Z15" s="43">
        <v>1.7942313602161408</v>
      </c>
      <c r="AA15" s="43">
        <v>0.80234526872117273</v>
      </c>
      <c r="AB15" s="43">
        <v>1.6450977105707953</v>
      </c>
      <c r="AC15" s="43">
        <v>2.0438541684263956</v>
      </c>
    </row>
    <row r="16" spans="2:31" ht="15" customHeight="1" thickBot="1" x14ac:dyDescent="0.3">
      <c r="B16" s="87"/>
      <c r="C16" s="55" t="s">
        <v>35</v>
      </c>
      <c r="D16" s="45"/>
      <c r="E16" s="45"/>
      <c r="F16" s="45"/>
      <c r="G16" s="45"/>
      <c r="H16" s="45"/>
      <c r="I16" s="58">
        <v>0.40453328581708042</v>
      </c>
      <c r="J16" s="58">
        <v>0.48422407635711356</v>
      </c>
      <c r="K16" s="58">
        <v>0.31416699180356494</v>
      </c>
      <c r="L16" s="58">
        <v>0.10524895577847315</v>
      </c>
      <c r="M16" s="58">
        <v>1.6410530378671728</v>
      </c>
      <c r="N16" s="58">
        <v>1.3071682584986068</v>
      </c>
      <c r="O16" s="58">
        <v>1.1636413073589249</v>
      </c>
      <c r="P16" s="58">
        <v>1.6224631901067894</v>
      </c>
      <c r="Q16" s="58">
        <v>1.2260230788808939</v>
      </c>
      <c r="R16" s="58">
        <v>1.1322860598496596</v>
      </c>
      <c r="S16" s="58">
        <v>1.0430266435877029</v>
      </c>
      <c r="T16" s="59">
        <v>0.57154452690598689</v>
      </c>
      <c r="U16" s="59">
        <v>0.58950064275132985</v>
      </c>
      <c r="V16" s="59">
        <v>0.40822928255594521</v>
      </c>
      <c r="W16" s="59">
        <v>0.77878679461987477</v>
      </c>
      <c r="X16" s="59">
        <v>0.56013368762434412</v>
      </c>
      <c r="Y16" s="59">
        <v>1.7098043778173746</v>
      </c>
      <c r="Z16" s="59">
        <v>1.5317903896834451</v>
      </c>
      <c r="AA16" s="59">
        <v>1.6903944508226811</v>
      </c>
      <c r="AB16" s="46"/>
      <c r="AC16" s="46"/>
    </row>
    <row r="17" spans="2:29" ht="15" customHeight="1" thickBot="1" x14ac:dyDescent="0.3">
      <c r="B17" s="87"/>
      <c r="C17" s="55" t="s">
        <v>10</v>
      </c>
      <c r="D17" s="58">
        <v>2.7341115498508834</v>
      </c>
      <c r="E17" s="58">
        <v>3.0311542200386903</v>
      </c>
      <c r="F17" s="58">
        <v>3.1680904554305527</v>
      </c>
      <c r="G17" s="58">
        <v>4.0353491552928142</v>
      </c>
      <c r="H17" s="58">
        <v>3.3388280480279078</v>
      </c>
      <c r="I17" s="58">
        <v>3.1195715419037282</v>
      </c>
      <c r="J17" s="58">
        <v>3.4761420127020592</v>
      </c>
      <c r="K17" s="58">
        <v>3.8851427867183381</v>
      </c>
      <c r="L17" s="58">
        <v>2.7031114252703956</v>
      </c>
      <c r="M17" s="58">
        <v>4.0119842682636726</v>
      </c>
      <c r="N17" s="58">
        <v>3.7509659749682318</v>
      </c>
      <c r="O17" s="58">
        <v>3.0588761809607661</v>
      </c>
      <c r="P17" s="58">
        <v>3.6894726118970333</v>
      </c>
      <c r="Q17" s="58">
        <v>4.1179373956539793</v>
      </c>
      <c r="R17" s="42">
        <v>4.5112086707485997</v>
      </c>
      <c r="S17" s="42">
        <v>5.3735364116788302</v>
      </c>
      <c r="T17" s="42">
        <v>5.7390197601279</v>
      </c>
      <c r="U17" s="42">
        <v>5.9684597918865903</v>
      </c>
      <c r="V17" s="42">
        <v>6.0311209387815099</v>
      </c>
      <c r="W17" s="42">
        <v>5.9437170327529296</v>
      </c>
      <c r="X17" s="42">
        <v>6.1400913264754804</v>
      </c>
      <c r="Y17" s="42">
        <v>4.9103297814399003</v>
      </c>
      <c r="Z17" s="42">
        <v>4.3203288008755596</v>
      </c>
      <c r="AA17" s="42">
        <v>3.8109820442809901</v>
      </c>
      <c r="AB17" s="42">
        <v>5.2215156292660332</v>
      </c>
      <c r="AC17" s="42">
        <v>5.7681311123322816</v>
      </c>
    </row>
    <row r="18" spans="2:29" ht="15" customHeight="1" thickBot="1" x14ac:dyDescent="0.3">
      <c r="B18" s="87"/>
      <c r="C18" s="55" t="s">
        <v>5</v>
      </c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>
        <v>5.3059980249603536</v>
      </c>
      <c r="O18" s="42">
        <v>4.1253236455940989</v>
      </c>
      <c r="P18" s="42">
        <v>4.840573008920301</v>
      </c>
      <c r="Q18" s="42">
        <v>3.8824417318074831</v>
      </c>
      <c r="R18" s="42">
        <v>3.7316935146217789</v>
      </c>
      <c r="S18" s="42">
        <v>3.8144598747797698</v>
      </c>
      <c r="T18" s="43">
        <v>4.0887352557928835</v>
      </c>
      <c r="U18" s="43">
        <v>4.4351517951641251</v>
      </c>
      <c r="V18" s="43">
        <v>4.3536678810366531</v>
      </c>
      <c r="W18" s="43">
        <v>5.7003540259020635</v>
      </c>
      <c r="X18" s="43">
        <v>4.4349147241253002</v>
      </c>
      <c r="Y18" s="43">
        <v>4.4705129971118716</v>
      </c>
      <c r="Z18" s="43">
        <v>3.9866065722873953</v>
      </c>
      <c r="AA18" s="43">
        <v>4.2665336996986785</v>
      </c>
      <c r="AB18" s="43">
        <v>4.4887852663293817</v>
      </c>
      <c r="AC18" s="43">
        <v>4.1223540867584374</v>
      </c>
    </row>
    <row r="19" spans="2:29" ht="15" customHeight="1" thickBot="1" x14ac:dyDescent="0.3">
      <c r="B19" s="87"/>
      <c r="C19" s="55" t="s">
        <v>36</v>
      </c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3"/>
      <c r="U19" s="43"/>
      <c r="V19" s="43"/>
      <c r="W19" s="43"/>
      <c r="X19" s="43"/>
      <c r="Y19" s="43"/>
      <c r="Z19" s="43"/>
      <c r="AA19" s="43"/>
      <c r="AB19" s="43"/>
      <c r="AC19" s="43"/>
    </row>
    <row r="20" spans="2:29" ht="15" customHeight="1" thickBot="1" x14ac:dyDescent="0.3">
      <c r="B20" s="87"/>
      <c r="C20" s="55" t="s">
        <v>6</v>
      </c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>
        <v>2.4</v>
      </c>
      <c r="P20" s="42">
        <v>2.7</v>
      </c>
      <c r="Q20" s="42">
        <v>3</v>
      </c>
      <c r="R20" s="42">
        <v>0.5</v>
      </c>
      <c r="S20" s="42">
        <v>1.3</v>
      </c>
      <c r="T20" s="43">
        <v>2.5</v>
      </c>
      <c r="U20" s="43">
        <v>6</v>
      </c>
      <c r="V20" s="43">
        <v>2.2400000000000002</v>
      </c>
      <c r="W20" s="43">
        <v>5.58</v>
      </c>
      <c r="X20" s="43">
        <v>4.3899999999999997</v>
      </c>
      <c r="Y20" s="43">
        <v>5.92</v>
      </c>
      <c r="Z20" s="43">
        <v>2.08</v>
      </c>
      <c r="AA20" s="43">
        <v>2.02</v>
      </c>
      <c r="AB20" s="43">
        <v>1.38</v>
      </c>
      <c r="AC20" s="43">
        <v>0.6</v>
      </c>
    </row>
    <row r="21" spans="2:29" ht="15" customHeight="1" thickBot="1" x14ac:dyDescent="0.35">
      <c r="B21" s="87"/>
      <c r="C21" s="55" t="s">
        <v>7</v>
      </c>
      <c r="D21" s="64">
        <v>5.3523295151744685</v>
      </c>
      <c r="E21" s="64">
        <v>5.4638519453679804</v>
      </c>
      <c r="F21" s="42">
        <v>7.5493356342347493</v>
      </c>
      <c r="G21" s="42">
        <v>6.8726750099972627</v>
      </c>
      <c r="H21" s="42">
        <v>5.7077952867839672</v>
      </c>
      <c r="I21" s="42">
        <v>4.2312572780170008</v>
      </c>
      <c r="J21" s="42">
        <v>3.8318708953500291</v>
      </c>
      <c r="K21" s="42">
        <v>4.5869855032261109</v>
      </c>
      <c r="L21" s="42">
        <v>4.8204815077740149</v>
      </c>
      <c r="M21" s="42">
        <v>4.7604306353598203</v>
      </c>
      <c r="N21" s="42">
        <v>3.6916108640631133</v>
      </c>
      <c r="O21" s="42">
        <v>4.0262741914889686</v>
      </c>
      <c r="P21" s="42">
        <v>4.1607852500854712</v>
      </c>
      <c r="Q21" s="42">
        <v>4.5826297612190103</v>
      </c>
      <c r="R21" s="42">
        <v>5.0292368321669247</v>
      </c>
      <c r="S21" s="42">
        <v>5.3536155161421393</v>
      </c>
      <c r="T21" s="42">
        <v>5.748000534554575</v>
      </c>
      <c r="U21" s="42">
        <v>6.0973438191666736</v>
      </c>
      <c r="V21" s="42">
        <v>4.326090067090302</v>
      </c>
      <c r="W21" s="42">
        <v>5.9621386310235733</v>
      </c>
      <c r="X21" s="42">
        <v>6.2156567437400794</v>
      </c>
      <c r="Y21" s="42">
        <v>4.6139621037977214</v>
      </c>
      <c r="Z21" s="42">
        <v>4.9171345890051752</v>
      </c>
      <c r="AA21" s="42">
        <v>4.4268906761983597</v>
      </c>
      <c r="AB21" s="42">
        <v>4.8413050441056082</v>
      </c>
      <c r="AC21" s="42">
        <v>4.3655198743777506</v>
      </c>
    </row>
    <row r="22" spans="2:29" ht="15" customHeight="1" thickBot="1" x14ac:dyDescent="0.3">
      <c r="B22" s="87"/>
      <c r="C22" s="55" t="s">
        <v>8</v>
      </c>
      <c r="D22" s="58">
        <v>6.160424819339247</v>
      </c>
      <c r="E22" s="58">
        <v>7.1551556497267557</v>
      </c>
      <c r="F22" s="58">
        <v>6.6556843363485401</v>
      </c>
      <c r="G22" s="58">
        <v>7.4645014273508545</v>
      </c>
      <c r="H22" s="58">
        <v>7.0224114634656107</v>
      </c>
      <c r="I22" s="58">
        <v>6.1118215068306307</v>
      </c>
      <c r="J22" s="58">
        <v>6.6105167200113533</v>
      </c>
      <c r="K22" s="58">
        <v>7.2036431622180279</v>
      </c>
      <c r="L22" s="58">
        <v>4.8597339684994392</v>
      </c>
      <c r="M22" s="58">
        <v>6.372568189312859</v>
      </c>
      <c r="N22" s="58">
        <v>4.9957308902738946</v>
      </c>
      <c r="O22" s="58">
        <v>3.9868997528571022</v>
      </c>
      <c r="P22" s="58">
        <v>4.5911146331197648</v>
      </c>
      <c r="Q22" s="58">
        <v>4.9943084939053648</v>
      </c>
      <c r="R22" s="58">
        <v>4.7567577949389594</v>
      </c>
      <c r="S22" s="58">
        <v>4.4751865664336918</v>
      </c>
      <c r="T22" s="58">
        <v>5.1786766022405004</v>
      </c>
      <c r="U22" s="58">
        <v>5.4923814809478868</v>
      </c>
      <c r="V22" s="58">
        <v>3.987417295453886</v>
      </c>
      <c r="W22" s="58">
        <v>3.6385474330877057</v>
      </c>
      <c r="X22" s="58">
        <v>4.2669440012611952</v>
      </c>
      <c r="Y22" s="58">
        <v>5.0253060121891853</v>
      </c>
      <c r="Z22" s="42">
        <v>3.8462091502419717</v>
      </c>
      <c r="AA22" s="42">
        <v>2.9915773575026394</v>
      </c>
      <c r="AB22" s="42">
        <v>3.0069739422409425</v>
      </c>
      <c r="AC22" s="42">
        <v>3.6771878487771641</v>
      </c>
    </row>
    <row r="23" spans="2:29" ht="15" customHeight="1" thickBot="1" x14ac:dyDescent="0.3">
      <c r="B23" s="88"/>
      <c r="C23" s="40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</row>
    <row r="24" spans="2:29" ht="14.55" customHeight="1" thickBot="1" x14ac:dyDescent="0.3">
      <c r="B24" s="83" t="s">
        <v>59</v>
      </c>
      <c r="C24" s="38" t="s">
        <v>4</v>
      </c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>
        <v>-8.8096772596722008</v>
      </c>
      <c r="P24" s="48">
        <v>-9.8770374291492011</v>
      </c>
      <c r="Q24" s="48">
        <v>-1.9552427218449502</v>
      </c>
      <c r="R24" s="48">
        <v>-4.30992261303909</v>
      </c>
      <c r="S24" s="48">
        <v>-6.7194952068471325</v>
      </c>
      <c r="T24" s="49">
        <v>-6.0393447501312254</v>
      </c>
      <c r="U24" s="49">
        <v>-6.2849154967505605</v>
      </c>
      <c r="V24" s="49">
        <v>-4.8666689026364516</v>
      </c>
      <c r="W24" s="49">
        <v>-6</v>
      </c>
      <c r="X24" s="49">
        <v>-3.7</v>
      </c>
      <c r="Y24" s="49">
        <v>-2.2999999999999998</v>
      </c>
      <c r="Z24" s="49">
        <v>-4.0999999999999996</v>
      </c>
      <c r="AA24" s="49">
        <v>-4.5</v>
      </c>
      <c r="AB24" s="49">
        <v>-5.2</v>
      </c>
      <c r="AC24" s="49">
        <v>-1.7</v>
      </c>
    </row>
    <row r="25" spans="2:29" ht="15" customHeight="1" thickBot="1" x14ac:dyDescent="0.3">
      <c r="B25" s="84"/>
      <c r="C25" s="38" t="s">
        <v>35</v>
      </c>
      <c r="D25" s="67">
        <v>-0.93646885507273803</v>
      </c>
      <c r="E25" s="67">
        <v>-1.3763341043419501E-2</v>
      </c>
      <c r="F25" s="67">
        <v>0.53120756119524348</v>
      </c>
      <c r="G25" s="67">
        <v>-0.33670775179637491</v>
      </c>
      <c r="H25" s="67">
        <v>-0.63843389275770546</v>
      </c>
      <c r="I25" s="67">
        <v>-0.57297280860683997</v>
      </c>
      <c r="J25" s="67">
        <v>-0.80358628874287008</v>
      </c>
      <c r="K25" s="67">
        <v>-0.58205586807288046</v>
      </c>
      <c r="L25" s="67">
        <v>-5.4705675649268239E-2</v>
      </c>
      <c r="M25" s="67">
        <v>0.25974913985859915</v>
      </c>
      <c r="N25" s="67">
        <v>2.0732940733949414</v>
      </c>
      <c r="O25" s="67"/>
      <c r="P25" s="67">
        <v>0.60285156314407162</v>
      </c>
      <c r="Q25" s="67">
        <v>-0.89908451716650384</v>
      </c>
      <c r="R25" s="67">
        <v>9.322215159772726E-2</v>
      </c>
      <c r="S25" s="67">
        <v>-0.6409321033803228</v>
      </c>
      <c r="T25" s="68">
        <v>-1.2376838778088541</v>
      </c>
      <c r="U25" s="68">
        <v>0.11720742272574117</v>
      </c>
      <c r="V25" s="68">
        <v>-0.73038240096275608</v>
      </c>
      <c r="W25" s="68">
        <v>-0.81307702771113177</v>
      </c>
      <c r="X25" s="68">
        <v>-1.2021592684284059</v>
      </c>
      <c r="Y25" s="68">
        <v>-0.23194385087152775</v>
      </c>
      <c r="Z25" s="68">
        <v>-2.069057967448888</v>
      </c>
      <c r="AA25" s="68"/>
      <c r="AB25" s="68"/>
      <c r="AC25" s="68"/>
    </row>
    <row r="26" spans="2:29" ht="15" customHeight="1" thickBot="1" x14ac:dyDescent="0.3">
      <c r="B26" s="84"/>
      <c r="C26" s="38" t="s">
        <v>10</v>
      </c>
      <c r="D26" s="48">
        <v>-1.3861823982939292</v>
      </c>
      <c r="E26" s="48">
        <v>-3.012484044461786</v>
      </c>
      <c r="F26" s="48">
        <v>-3.4547912155414382</v>
      </c>
      <c r="G26" s="48">
        <v>-0.86695064336538008</v>
      </c>
      <c r="H26" s="48">
        <v>0.10892015242543521</v>
      </c>
      <c r="I26" s="48">
        <v>-2.5757068503619456</v>
      </c>
      <c r="J26" s="48">
        <v>-2.3621726582294085</v>
      </c>
      <c r="K26" s="48">
        <v>-3.7004959337576921</v>
      </c>
      <c r="L26" s="48">
        <v>-4.4389110020976581</v>
      </c>
      <c r="M26" s="48">
        <v>-5.6869462535893724</v>
      </c>
      <c r="N26" s="48">
        <v>-3.275239532692356</v>
      </c>
      <c r="O26" s="48">
        <v>-4.1074072063181051</v>
      </c>
      <c r="P26" s="48">
        <v>-5.2243553908370783</v>
      </c>
      <c r="Q26" s="48">
        <v>-5.7336912394801143</v>
      </c>
      <c r="R26" s="48">
        <v>-7.943600526850247</v>
      </c>
      <c r="S26" s="48">
        <v>-7.5787941263479626</v>
      </c>
      <c r="T26" s="48">
        <v>-9.55852830681801</v>
      </c>
      <c r="U26" s="48">
        <v>-7.0329344892466814</v>
      </c>
      <c r="V26" s="48">
        <v>-7.6497186733692102</v>
      </c>
      <c r="W26" s="48">
        <v>-7.8161056132656022</v>
      </c>
      <c r="X26" s="48">
        <v>-8.6889294636802763</v>
      </c>
      <c r="Y26" s="48">
        <v>-6.4890077195686233</v>
      </c>
      <c r="Z26" s="48">
        <v>-5.9124072769407219</v>
      </c>
      <c r="AA26" s="48">
        <v>-5.3523437037790362</v>
      </c>
      <c r="AB26" s="48">
        <v>-6.1761366486043192</v>
      </c>
      <c r="AC26" s="48">
        <v>-7.2560365679833261</v>
      </c>
    </row>
    <row r="27" spans="2:29" ht="15" customHeight="1" thickBot="1" x14ac:dyDescent="0.3">
      <c r="B27" s="84"/>
      <c r="C27" s="38" t="s">
        <v>5</v>
      </c>
      <c r="D27" s="48"/>
      <c r="E27" s="48"/>
      <c r="F27" s="48"/>
      <c r="G27" s="48"/>
      <c r="H27" s="48"/>
      <c r="I27" s="48"/>
      <c r="J27" s="48">
        <v>-1.3080379430853744</v>
      </c>
      <c r="K27" s="48">
        <v>-0.14356029532403144</v>
      </c>
      <c r="L27" s="48">
        <v>-1.9758327890267799</v>
      </c>
      <c r="M27" s="48">
        <v>-9.9009900990101055E-2</v>
      </c>
      <c r="N27" s="48">
        <v>-3.2009488712281633</v>
      </c>
      <c r="O27" s="48">
        <v>-1.1205122341641893</v>
      </c>
      <c r="P27" s="48">
        <v>-4.8344704167887569</v>
      </c>
      <c r="Q27" s="48">
        <v>-3.8489880611550937</v>
      </c>
      <c r="R27" s="48">
        <v>-5.2313290590885453</v>
      </c>
      <c r="S27" s="48">
        <v>-3.0440689950767048</v>
      </c>
      <c r="T27" s="48">
        <v>-4.5198286582838199</v>
      </c>
      <c r="U27" s="48">
        <v>-4.59944059254578</v>
      </c>
      <c r="V27" s="48">
        <v>-6.2233746489498083</v>
      </c>
      <c r="W27" s="48">
        <v>-8.8684167509038723</v>
      </c>
      <c r="X27" s="48">
        <v>-8.5</v>
      </c>
      <c r="Y27" s="48">
        <v>-9</v>
      </c>
      <c r="Z27" s="48">
        <v>-7.1</v>
      </c>
      <c r="AA27" s="48">
        <v>-6.6</v>
      </c>
      <c r="AB27" s="48">
        <v>-5.4</v>
      </c>
      <c r="AC27" s="48">
        <v>-5.7</v>
      </c>
    </row>
    <row r="28" spans="2:29" ht="15" customHeight="1" thickBot="1" x14ac:dyDescent="0.3">
      <c r="B28" s="84"/>
      <c r="C28" s="38" t="s">
        <v>36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1"/>
      <c r="U28" s="51"/>
      <c r="V28" s="51"/>
      <c r="W28" s="51"/>
      <c r="X28" s="51"/>
      <c r="Y28" s="51"/>
      <c r="Z28" s="51"/>
      <c r="AA28" s="51"/>
      <c r="AB28" s="51"/>
      <c r="AC28" s="51"/>
    </row>
    <row r="29" spans="2:29" ht="15" customHeight="1" thickBot="1" x14ac:dyDescent="0.3">
      <c r="B29" s="84"/>
      <c r="C29" s="38" t="s">
        <v>6</v>
      </c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>
        <v>-2.86</v>
      </c>
      <c r="Q29" s="42">
        <v>-8.49</v>
      </c>
      <c r="R29" s="42">
        <v>-15.708</v>
      </c>
      <c r="S29" s="42">
        <v>-17.797999999999998</v>
      </c>
      <c r="T29" s="43">
        <v>9.4610000000000003</v>
      </c>
      <c r="U29" s="43">
        <v>-0.17599999999999999</v>
      </c>
      <c r="V29" s="43">
        <v>1.419</v>
      </c>
      <c r="W29" s="43">
        <v>-4.4980000000000002</v>
      </c>
      <c r="X29" s="43">
        <v>-8.9939999999999998</v>
      </c>
      <c r="Y29" s="43">
        <v>3.4260000000000002</v>
      </c>
      <c r="Z29" s="43">
        <v>8.8970000000000002</v>
      </c>
      <c r="AA29" s="43">
        <v>5.202</v>
      </c>
      <c r="AB29" s="43">
        <v>3.589</v>
      </c>
      <c r="AC29" s="43">
        <v>2.5569999999999999</v>
      </c>
    </row>
    <row r="30" spans="2:29" ht="15" customHeight="1" thickBot="1" x14ac:dyDescent="0.3">
      <c r="B30" s="84"/>
      <c r="C30" s="38" t="s">
        <v>7</v>
      </c>
      <c r="D30" s="42">
        <v>1.1735617025619691</v>
      </c>
      <c r="E30" s="42">
        <v>-0.28362810472646899</v>
      </c>
      <c r="F30" s="42">
        <v>-0.75327325711190629</v>
      </c>
      <c r="G30" s="42">
        <v>-2.25690370755947</v>
      </c>
      <c r="H30" s="42">
        <v>-2.7960180847973195</v>
      </c>
      <c r="I30" s="42">
        <v>-4.0091724733779692</v>
      </c>
      <c r="J30" s="42">
        <v>-3.6140818009898621</v>
      </c>
      <c r="K30" s="42">
        <v>-0.94649913891670467</v>
      </c>
      <c r="L30" s="42">
        <v>-3.276025880894414</v>
      </c>
      <c r="M30" s="42">
        <v>-4.0830169026717451</v>
      </c>
      <c r="N30" s="42">
        <v>-4.4424076601923534</v>
      </c>
      <c r="O30" s="42">
        <v>-2.6089963492541619</v>
      </c>
      <c r="P30" s="42">
        <v>-4.1913614087225044</v>
      </c>
      <c r="Q30" s="42">
        <v>-2.3091611950614181</v>
      </c>
      <c r="R30" s="42">
        <v>-3.7360413027039714</v>
      </c>
      <c r="S30" s="42">
        <v>-3.5067805748775287</v>
      </c>
      <c r="T30" s="42">
        <v>-1.4550573416963202</v>
      </c>
      <c r="U30" s="42">
        <v>-1.8879027156974844</v>
      </c>
      <c r="V30" s="42">
        <v>-3.1618475618910007</v>
      </c>
      <c r="W30" s="52">
        <v>-1.888391998252372</v>
      </c>
      <c r="X30" s="42">
        <v>-3.8550624790622838</v>
      </c>
      <c r="Y30" s="42">
        <v>-3.4916496093622942</v>
      </c>
      <c r="Z30" s="42">
        <v>-4.1260959080935962</v>
      </c>
      <c r="AA30" s="42">
        <v>-3.0649582821547385</v>
      </c>
      <c r="AB30" s="42">
        <v>-3.0533028352513201</v>
      </c>
      <c r="AC30" s="42">
        <v>-2.5324702348127164</v>
      </c>
    </row>
    <row r="31" spans="2:29" ht="15" customHeight="1" thickBot="1" x14ac:dyDescent="0.3">
      <c r="B31" s="84"/>
      <c r="C31" s="38" t="s">
        <v>8</v>
      </c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58">
        <v>-2.1126936142681005</v>
      </c>
      <c r="T31" s="58">
        <v>-2.2369945879372302</v>
      </c>
      <c r="U31" s="58">
        <v>-2.4546632646083708</v>
      </c>
      <c r="V31" s="58">
        <v>-2.6656185792822731</v>
      </c>
      <c r="W31" s="66">
        <v>-3.4475281309551931</v>
      </c>
      <c r="X31" s="58">
        <v>-6.139323520204595</v>
      </c>
      <c r="Y31" s="58">
        <v>-7.9313040173589355</v>
      </c>
      <c r="Z31" s="58">
        <v>-6.7428490151198419</v>
      </c>
      <c r="AA31" s="58">
        <v>-4.9423963934475452</v>
      </c>
      <c r="AB31" s="58">
        <v>-4.3234415146220666</v>
      </c>
      <c r="AC31" s="42"/>
    </row>
    <row r="32" spans="2:29" ht="15" customHeight="1" thickBot="1" x14ac:dyDescent="0.3">
      <c r="B32" s="85"/>
      <c r="C32" s="38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</row>
    <row r="33" spans="2:29" ht="14.4" thickBot="1" x14ac:dyDescent="0.3">
      <c r="B33" s="89" t="s">
        <v>61</v>
      </c>
      <c r="C33" s="55" t="s">
        <v>4</v>
      </c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>
        <v>35.416031085661466</v>
      </c>
      <c r="O33" s="42">
        <v>34.172816562437028</v>
      </c>
      <c r="P33" s="42">
        <v>31.833954552937595</v>
      </c>
      <c r="Q33" s="42">
        <v>33.06585996033958</v>
      </c>
      <c r="R33" s="42">
        <v>39.879093074979039</v>
      </c>
      <c r="S33" s="42">
        <v>42.500783994801608</v>
      </c>
      <c r="T33" s="43">
        <v>42.547937213405248</v>
      </c>
      <c r="U33" s="43">
        <v>44.590335346173973</v>
      </c>
      <c r="V33" s="43">
        <v>45.16013525932577</v>
      </c>
      <c r="W33" s="43">
        <v>52.244656435647386</v>
      </c>
      <c r="X33" s="43">
        <v>57.09803595262575</v>
      </c>
      <c r="Y33" s="43">
        <v>56.97431143357641</v>
      </c>
      <c r="Z33" s="43">
        <v>57.132399665943844</v>
      </c>
      <c r="AA33" s="43">
        <v>56.489288011990581</v>
      </c>
      <c r="AB33" s="43">
        <v>51.6425677758102</v>
      </c>
      <c r="AC33" s="43">
        <v>42.505624189722383</v>
      </c>
    </row>
    <row r="34" spans="2:29" ht="14.4" thickBot="1" x14ac:dyDescent="0.3">
      <c r="B34" s="90"/>
      <c r="C34" s="55" t="s">
        <v>35</v>
      </c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6"/>
      <c r="U34" s="46"/>
      <c r="V34" s="46"/>
      <c r="W34" s="46"/>
      <c r="X34" s="46"/>
      <c r="Y34" s="46"/>
      <c r="Z34" s="46"/>
      <c r="AA34" s="46"/>
      <c r="AB34" s="46"/>
      <c r="AC34" s="46"/>
    </row>
    <row r="35" spans="2:29" ht="14.4" thickBot="1" x14ac:dyDescent="0.3">
      <c r="B35" s="90"/>
      <c r="C35" s="55" t="s">
        <v>10</v>
      </c>
      <c r="D35" s="42">
        <v>62.181997400391388</v>
      </c>
      <c r="E35" s="42">
        <v>59.389954334318276</v>
      </c>
      <c r="F35" s="42">
        <v>59.277034192475377</v>
      </c>
      <c r="G35" s="42">
        <v>61.533877960704473</v>
      </c>
      <c r="H35" s="42">
        <v>58.806844862547159</v>
      </c>
      <c r="I35" s="42">
        <v>52.940808985303953</v>
      </c>
      <c r="J35" s="42">
        <v>48.631381793641552</v>
      </c>
      <c r="K35" s="42">
        <v>43.700534657277757</v>
      </c>
      <c r="L35" s="42">
        <v>41.306854894384053</v>
      </c>
      <c r="M35" s="42">
        <v>32.161324100741169</v>
      </c>
      <c r="N35" s="42">
        <v>34.070198436192712</v>
      </c>
      <c r="O35" s="42">
        <v>35.726265425173345</v>
      </c>
      <c r="P35" s="42">
        <v>34.041022270767002</v>
      </c>
      <c r="Q35" s="42">
        <v>34.843558157460613</v>
      </c>
      <c r="R35" s="42">
        <v>40.354744092734066</v>
      </c>
      <c r="S35" s="42">
        <v>41.306891881939777</v>
      </c>
      <c r="T35" s="42">
        <v>47.559100107663035</v>
      </c>
      <c r="U35" s="42">
        <v>51.935138239450339</v>
      </c>
      <c r="V35" s="42">
        <v>54.037129507627533</v>
      </c>
      <c r="W35" s="42">
        <v>56.737422350613208</v>
      </c>
      <c r="X35" s="42">
        <v>62.474937447912147</v>
      </c>
      <c r="Y35" s="42">
        <v>63.991116311715444</v>
      </c>
      <c r="Z35" s="42">
        <v>64.400000000000006</v>
      </c>
      <c r="AA35" s="42">
        <v>64.400000000000006</v>
      </c>
      <c r="AB35" s="42">
        <v>63.7</v>
      </c>
      <c r="AC35" s="42">
        <v>65.599999999999994</v>
      </c>
    </row>
    <row r="36" spans="2:29" ht="14.4" thickBot="1" x14ac:dyDescent="0.3">
      <c r="B36" s="90"/>
      <c r="C36" s="55" t="s">
        <v>5</v>
      </c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>
        <v>18.2</v>
      </c>
      <c r="S36" s="42">
        <v>23</v>
      </c>
      <c r="T36" s="42">
        <v>27.856752323674815</v>
      </c>
      <c r="U36" s="42">
        <v>28.986118017240116</v>
      </c>
      <c r="V36" s="42">
        <v>30.068854654941308</v>
      </c>
      <c r="W36" s="42">
        <v>32.728889584740848</v>
      </c>
      <c r="X36" s="42">
        <v>32.386136096721778</v>
      </c>
      <c r="Y36" s="42">
        <v>51.229052480911797</v>
      </c>
      <c r="Z36" s="42">
        <v>55.22905248091179</v>
      </c>
      <c r="AA36" s="42">
        <v>56.737881054658871</v>
      </c>
      <c r="AB36" s="42">
        <v>54.144799908700762</v>
      </c>
      <c r="AC36" s="42">
        <v>53.7</v>
      </c>
    </row>
    <row r="37" spans="2:29" ht="14.4" thickBot="1" x14ac:dyDescent="0.3">
      <c r="B37" s="90"/>
      <c r="C37" s="55" t="s">
        <v>36</v>
      </c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3"/>
      <c r="U37" s="43"/>
      <c r="V37" s="43"/>
      <c r="W37" s="43"/>
      <c r="X37" s="43"/>
      <c r="Y37" s="43"/>
      <c r="Z37" s="43"/>
      <c r="AA37" s="43"/>
      <c r="AB37" s="43"/>
      <c r="AC37" s="43"/>
    </row>
    <row r="38" spans="2:29" ht="14.4" thickBot="1" x14ac:dyDescent="0.3">
      <c r="B38" s="90"/>
      <c r="C38" s="55" t="s">
        <v>6</v>
      </c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>
        <v>17.587825731975595</v>
      </c>
      <c r="Q38" s="42">
        <v>38.141820212171972</v>
      </c>
      <c r="R38" s="42">
        <v>57.243835616438353</v>
      </c>
      <c r="S38" s="42">
        <v>150.47930072269219</v>
      </c>
      <c r="T38" s="43">
        <v>162.95637831151009</v>
      </c>
      <c r="U38" s="43">
        <v>80.268958220107805</v>
      </c>
      <c r="V38" s="43">
        <v>43.100167739028116</v>
      </c>
      <c r="W38" s="43">
        <v>48.982275115809692</v>
      </c>
      <c r="X38" s="43">
        <v>51.086581542315692</v>
      </c>
      <c r="Y38" s="43">
        <v>39.11238088601641</v>
      </c>
      <c r="Z38" s="43">
        <v>49.687185720044923</v>
      </c>
      <c r="AA38" s="43">
        <v>54.323098562727054</v>
      </c>
      <c r="AB38" s="43">
        <v>63.173433205770756</v>
      </c>
      <c r="AC38" s="43">
        <v>35.183846266442188</v>
      </c>
    </row>
    <row r="39" spans="2:29" ht="14.4" thickBot="1" x14ac:dyDescent="0.3">
      <c r="B39" s="90"/>
      <c r="C39" s="55" t="s">
        <v>7</v>
      </c>
      <c r="D39" s="42"/>
      <c r="E39" s="42"/>
      <c r="F39" s="42"/>
      <c r="G39" s="42"/>
      <c r="H39" s="42"/>
      <c r="I39" s="99"/>
      <c r="J39" s="42">
        <v>26.01355257698248</v>
      </c>
      <c r="K39" s="42">
        <v>24.843045603038604</v>
      </c>
      <c r="L39" s="42">
        <v>27.347185316865847</v>
      </c>
      <c r="M39" s="42">
        <v>26.71847721717101</v>
      </c>
      <c r="N39" s="42">
        <v>30.036728996039912</v>
      </c>
      <c r="O39" s="42">
        <v>31.405226763545809</v>
      </c>
      <c r="P39" s="42">
        <v>31.12641104754173</v>
      </c>
      <c r="Q39" s="42">
        <v>32.792783566238072</v>
      </c>
      <c r="R39" s="42">
        <v>31.979521143883339</v>
      </c>
      <c r="S39" s="42">
        <v>36.220840621376361</v>
      </c>
      <c r="T39" s="43">
        <v>39.638294955769467</v>
      </c>
      <c r="U39" s="43">
        <v>39.862863681762803</v>
      </c>
      <c r="V39" s="43">
        <v>38.34438254425482</v>
      </c>
      <c r="W39" s="43">
        <v>38.135062390300725</v>
      </c>
      <c r="X39" s="43">
        <v>40.225518904658173</v>
      </c>
      <c r="Y39" s="43">
        <v>40.597540762039621</v>
      </c>
      <c r="Z39" s="43">
        <v>42.748780817726285</v>
      </c>
      <c r="AA39" s="43">
        <v>45.520785186582543</v>
      </c>
      <c r="AB39" s="43">
        <v>49.046233536837555</v>
      </c>
      <c r="AC39" s="43">
        <v>46.496916095886149</v>
      </c>
    </row>
    <row r="40" spans="2:29" ht="14.4" thickBot="1" x14ac:dyDescent="0.3">
      <c r="B40" s="90"/>
      <c r="C40" s="55" t="s">
        <v>8</v>
      </c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59">
        <v>34.67357099456936</v>
      </c>
      <c r="W40" s="59">
        <v>38.476945312033109</v>
      </c>
      <c r="X40" s="58">
        <v>44.185914308992402</v>
      </c>
      <c r="Y40" s="58">
        <v>51.30266235001956</v>
      </c>
      <c r="Z40" s="58">
        <v>53.890283064003967</v>
      </c>
      <c r="AA40" s="58">
        <v>53.146935074866661</v>
      </c>
      <c r="AB40" s="58">
        <v>54.430552583667115</v>
      </c>
      <c r="AC40" s="42"/>
    </row>
    <row r="41" spans="2:29" x14ac:dyDescent="0.25">
      <c r="B41" s="91"/>
      <c r="C41" s="41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</row>
    <row r="42" spans="2:29" ht="22.5" customHeight="1" x14ac:dyDescent="0.25">
      <c r="B42" s="36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X42" s="37"/>
      <c r="Y42" s="37"/>
      <c r="Z42" s="37"/>
      <c r="AA42" s="37"/>
      <c r="AB42" s="37"/>
      <c r="AC42" s="37"/>
    </row>
    <row r="43" spans="2:29" ht="16.8" x14ac:dyDescent="0.25">
      <c r="B43" s="36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X43" s="37"/>
      <c r="Y43" s="37"/>
      <c r="Z43" s="37"/>
      <c r="AA43" s="37"/>
      <c r="AB43" s="37"/>
      <c r="AC43" s="37"/>
    </row>
    <row r="44" spans="2:29" ht="16.8" x14ac:dyDescent="0.25">
      <c r="B44" s="36"/>
    </row>
    <row r="45" spans="2:29" ht="16.8" x14ac:dyDescent="0.25">
      <c r="B45" s="36"/>
    </row>
  </sheetData>
  <mergeCells count="33">
    <mergeCell ref="B1:Y1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V4:V5"/>
    <mergeCell ref="K4:K5"/>
    <mergeCell ref="L4:L5"/>
    <mergeCell ref="M4:M5"/>
    <mergeCell ref="N4:N5"/>
    <mergeCell ref="O4:O5"/>
    <mergeCell ref="P4:P5"/>
    <mergeCell ref="AC4:AC5"/>
    <mergeCell ref="B6:B14"/>
    <mergeCell ref="B15:B23"/>
    <mergeCell ref="B24:B32"/>
    <mergeCell ref="B33:B41"/>
    <mergeCell ref="W4:W5"/>
    <mergeCell ref="X4:X5"/>
    <mergeCell ref="Y4:Y5"/>
    <mergeCell ref="Z4:Z5"/>
    <mergeCell ref="AA4:AA5"/>
    <mergeCell ref="AB4:AB5"/>
    <mergeCell ref="Q4:Q5"/>
    <mergeCell ref="R4:R5"/>
    <mergeCell ref="S4:S5"/>
    <mergeCell ref="T4:T5"/>
    <mergeCell ref="U4:U5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"/>
  <sheetViews>
    <sheetView workbookViewId="0">
      <selection activeCell="D7" sqref="D7"/>
    </sheetView>
  </sheetViews>
  <sheetFormatPr defaultColWidth="8.77734375" defaultRowHeight="14.4" x14ac:dyDescent="0.3"/>
  <cols>
    <col min="1" max="1" width="26" customWidth="1"/>
    <col min="2" max="2" width="30" customWidth="1"/>
    <col min="3" max="4" width="40" customWidth="1"/>
  </cols>
  <sheetData>
    <row r="1" spans="1:4" ht="16.8" x14ac:dyDescent="0.3">
      <c r="A1" s="97" t="s">
        <v>62</v>
      </c>
      <c r="B1" s="93"/>
      <c r="C1" s="93"/>
      <c r="D1" s="93"/>
    </row>
    <row r="2" spans="1:4" ht="45" customHeight="1" x14ac:dyDescent="0.3">
      <c r="A2" s="98" t="s">
        <v>63</v>
      </c>
      <c r="B2" s="93"/>
      <c r="C2" s="93"/>
      <c r="D2" s="93"/>
    </row>
    <row r="4" spans="1:4" x14ac:dyDescent="0.3">
      <c r="A4" s="60" t="s">
        <v>64</v>
      </c>
      <c r="B4" s="60" t="s">
        <v>65</v>
      </c>
      <c r="C4" s="60" t="s">
        <v>66</v>
      </c>
      <c r="D4" s="60" t="s">
        <v>67</v>
      </c>
    </row>
    <row r="5" spans="1:4" x14ac:dyDescent="0.3">
      <c r="A5" s="98" t="s">
        <v>68</v>
      </c>
      <c r="B5" s="93"/>
      <c r="C5" s="93"/>
      <c r="D5" s="93"/>
    </row>
    <row r="6" spans="1:4" ht="26.4" x14ac:dyDescent="0.3">
      <c r="A6" s="61" t="s">
        <v>69</v>
      </c>
      <c r="B6" s="61" t="s">
        <v>70</v>
      </c>
      <c r="C6" s="61" t="s">
        <v>71</v>
      </c>
      <c r="D6" s="62" t="s">
        <v>72</v>
      </c>
    </row>
    <row r="7" spans="1:4" ht="39.6" x14ac:dyDescent="0.3">
      <c r="A7" s="61" t="s">
        <v>73</v>
      </c>
      <c r="B7" s="61" t="s">
        <v>74</v>
      </c>
      <c r="C7" s="61" t="s">
        <v>75</v>
      </c>
      <c r="D7" s="65" t="s">
        <v>76</v>
      </c>
    </row>
    <row r="8" spans="1:4" ht="26.4" x14ac:dyDescent="0.3">
      <c r="A8" s="61" t="s">
        <v>77</v>
      </c>
      <c r="B8" s="61" t="s">
        <v>78</v>
      </c>
      <c r="C8" s="61" t="s">
        <v>75</v>
      </c>
      <c r="D8" s="62" t="s">
        <v>79</v>
      </c>
    </row>
    <row r="9" spans="1:4" ht="26.4" x14ac:dyDescent="0.3">
      <c r="A9" s="61" t="s">
        <v>80</v>
      </c>
      <c r="B9" s="61" t="s">
        <v>81</v>
      </c>
      <c r="C9" s="61" t="s">
        <v>75</v>
      </c>
      <c r="D9" s="62" t="s">
        <v>82</v>
      </c>
    </row>
    <row r="10" spans="1:4" ht="26.4" x14ac:dyDescent="0.3">
      <c r="A10" s="61" t="s">
        <v>83</v>
      </c>
      <c r="B10" s="61" t="s">
        <v>84</v>
      </c>
      <c r="C10" s="61" t="s">
        <v>75</v>
      </c>
      <c r="D10" s="62" t="s">
        <v>85</v>
      </c>
    </row>
    <row r="11" spans="1:4" ht="39.6" x14ac:dyDescent="0.3">
      <c r="A11" s="61" t="s">
        <v>86</v>
      </c>
      <c r="B11" s="61" t="s">
        <v>87</v>
      </c>
      <c r="C11" s="61" t="s">
        <v>88</v>
      </c>
      <c r="D11" s="62" t="s">
        <v>89</v>
      </c>
    </row>
    <row r="12" spans="1:4" ht="39.6" x14ac:dyDescent="0.3">
      <c r="A12" s="61" t="s">
        <v>90</v>
      </c>
      <c r="B12" s="61" t="s">
        <v>91</v>
      </c>
      <c r="C12" s="61" t="s">
        <v>92</v>
      </c>
      <c r="D12" s="62" t="s">
        <v>93</v>
      </c>
    </row>
    <row r="13" spans="1:4" ht="26.4" x14ac:dyDescent="0.3">
      <c r="A13" s="61" t="s">
        <v>94</v>
      </c>
      <c r="B13" s="61" t="s">
        <v>95</v>
      </c>
      <c r="C13" s="61" t="s">
        <v>96</v>
      </c>
      <c r="D13" s="62" t="s">
        <v>97</v>
      </c>
    </row>
    <row r="16" spans="1:4" x14ac:dyDescent="0.3">
      <c r="A16" s="63" t="s">
        <v>98</v>
      </c>
    </row>
    <row r="17" spans="1:4" ht="30" customHeight="1" x14ac:dyDescent="0.3">
      <c r="A17" s="96" t="s">
        <v>99</v>
      </c>
      <c r="B17" s="93"/>
      <c r="C17" s="93"/>
      <c r="D17" s="93"/>
    </row>
    <row r="18" spans="1:4" ht="30" customHeight="1" x14ac:dyDescent="0.3">
      <c r="A18" s="96" t="s">
        <v>100</v>
      </c>
      <c r="B18" s="93"/>
      <c r="C18" s="93"/>
      <c r="D18" s="93"/>
    </row>
    <row r="19" spans="1:4" ht="30" customHeight="1" x14ac:dyDescent="0.3">
      <c r="A19" s="96" t="s">
        <v>101</v>
      </c>
      <c r="B19" s="93"/>
      <c r="C19" s="93"/>
      <c r="D19" s="93"/>
    </row>
    <row r="20" spans="1:4" ht="30" customHeight="1" x14ac:dyDescent="0.3">
      <c r="A20" s="96" t="s">
        <v>102</v>
      </c>
      <c r="B20" s="93"/>
      <c r="C20" s="93"/>
      <c r="D20" s="93"/>
    </row>
    <row r="21" spans="1:4" ht="30" customHeight="1" x14ac:dyDescent="0.3">
      <c r="A21" s="96" t="s">
        <v>103</v>
      </c>
      <c r="B21" s="93"/>
      <c r="C21" s="93"/>
      <c r="D21" s="93"/>
    </row>
  </sheetData>
  <mergeCells count="8">
    <mergeCell ref="A20:D20"/>
    <mergeCell ref="A21:D21"/>
    <mergeCell ref="A1:D1"/>
    <mergeCell ref="A2:D2"/>
    <mergeCell ref="A5:D5"/>
    <mergeCell ref="A17:D17"/>
    <mergeCell ref="A18:D18"/>
    <mergeCell ref="A19:D19"/>
  </mergeCells>
  <hyperlinks>
    <hyperlink ref="D6" r:id="rId1" xr:uid="{00000000-0004-0000-0300-000000000000}"/>
    <hyperlink ref="D7" r:id="rId2" xr:uid="{00000000-0004-0000-0300-000001000000}"/>
    <hyperlink ref="D8" r:id="rId3" xr:uid="{00000000-0004-0000-0300-000002000000}"/>
    <hyperlink ref="D9" r:id="rId4" xr:uid="{00000000-0004-0000-0300-000003000000}"/>
    <hyperlink ref="D10" r:id="rId5" xr:uid="{00000000-0004-0000-0300-000004000000}"/>
    <hyperlink ref="D11" r:id="rId6" xr:uid="{00000000-0004-0000-0300-00000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Data_EAC_Submitted</vt:lpstr>
      <vt:lpstr>Data_EAC_Submitted and online</vt:lpstr>
      <vt:lpstr>Data 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Dominic Laurent Mwita</cp:lastModifiedBy>
  <dcterms:created xsi:type="dcterms:W3CDTF">2015-06-05T18:17:20Z</dcterms:created>
  <dcterms:modified xsi:type="dcterms:W3CDTF">2026-10-27T08:40:33Z</dcterms:modified>
</cp:coreProperties>
</file>